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2579abb3f9d59848/Documents/"/>
    </mc:Choice>
  </mc:AlternateContent>
  <xr:revisionPtr revIDLastSave="0" documentId="8_{D6BC4A58-8EEF-44E1-98FB-D3C68E6EF979}" xr6:coauthVersionLast="47" xr6:coauthVersionMax="47" xr10:uidLastSave="{00000000-0000-0000-0000-000000000000}"/>
  <bookViews>
    <workbookView xWindow="-120" yWindow="-120" windowWidth="29040" windowHeight="15720" firstSheet="26" activeTab="33" xr2:uid="{F1A17ED5-1E49-4A44-96BC-F3F81DA84514}"/>
  </bookViews>
  <sheets>
    <sheet name="Sales Sheet 1" sheetId="6" r:id="rId1"/>
    <sheet name="Sales Sheet 2" sheetId="7" r:id="rId2"/>
    <sheet name="MATHEMATICAL FUNCTIONS" sheetId="8" r:id="rId3"/>
    <sheet name="IF CONDITIONAL FUNCTIONS" sheetId="1" r:id="rId4"/>
    <sheet name="FINANCIAL CALCULATIONS" sheetId="2" r:id="rId5"/>
    <sheet name="TIME &amp; DATE" sheetId="3" r:id="rId6"/>
    <sheet name="COUNT Practice" sheetId="4" r:id="rId7"/>
    <sheet name="Eligible-Not Eligible" sheetId="5" r:id="rId8"/>
    <sheet name="FORMULAS(Beginners)" sheetId="9" r:id="rId9"/>
    <sheet name="SUMIF, SUMIFS Practice" sheetId="10" r:id="rId10"/>
    <sheet name="SUMIFS" sheetId="11" r:id="rId11"/>
    <sheet name="SUMIF VS SUM+FILTER FORMULA" sheetId="12" r:id="rId12"/>
    <sheet name="DATE VS EDATE FORMULA" sheetId="13" r:id="rId13"/>
    <sheet name="VLOOKUP 1" sheetId="14" r:id="rId14"/>
    <sheet name="VLOOKUP 2" sheetId="15" r:id="rId15"/>
    <sheet name="VLOOKUP 3" sheetId="16" r:id="rId16"/>
    <sheet name="VLOOKUP 4" sheetId="17" r:id="rId17"/>
    <sheet name="XLOOKUP" sheetId="18" r:id="rId18"/>
    <sheet name="HLOOKUP" sheetId="19" r:id="rId19"/>
    <sheet name="LOOKUP FORMULA" sheetId="20" r:id="rId20"/>
    <sheet name="INDEX FUNCTION" sheetId="21" r:id="rId21"/>
    <sheet name="MATCH FUNCTION" sheetId="22" r:id="rId22"/>
    <sheet name="INDEX + MATCH FUNCTION" sheetId="23" r:id="rId23"/>
    <sheet name=" DATA VALIDATION &amp; FILTER" sheetId="24" r:id="rId24"/>
    <sheet name="PIVOT TABLE &amp; CHART" sheetId="26" r:id="rId25"/>
    <sheet name="SALES DATA" sheetId="27" r:id="rId26"/>
    <sheet name="Column Chart" sheetId="32" r:id="rId27"/>
    <sheet name="Pie Chart" sheetId="35" r:id="rId28"/>
    <sheet name="Bar Chart" sheetId="36" r:id="rId29"/>
    <sheet name="Area Chart" sheetId="37" r:id="rId30"/>
    <sheet name="3D Pie Chart" sheetId="38" r:id="rId31"/>
    <sheet name=" 2D Line Chart" sheetId="39" r:id="rId32"/>
    <sheet name="DASHBOARD" sheetId="33" r:id="rId33"/>
    <sheet name="PIVOT TABLE SUMMARY" sheetId="29" r:id="rId34"/>
  </sheets>
  <definedNames>
    <definedName name="_xlnm._FilterDatabase" localSheetId="23" hidden="1">' DATA VALIDATION &amp; FILTER'!$A$2:$H$17</definedName>
    <definedName name="_xlnm._FilterDatabase" localSheetId="25" hidden="1">'SALES DATA'!$A$2:$H$17</definedName>
  </definedNames>
  <calcPr calcId="191029"/>
  <pivotCaches>
    <pivotCache cacheId="0" r:id="rId35"/>
    <pivotCache cacheId="1" r:id="rId3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9" i="23" l="1"/>
  <c r="C25" i="23"/>
  <c r="C24" i="23"/>
  <c r="C23" i="23"/>
  <c r="C17" i="22"/>
  <c r="C16" i="22"/>
  <c r="C17" i="21"/>
  <c r="C16" i="21"/>
  <c r="B43" i="20"/>
  <c r="B42" i="20"/>
  <c r="B40" i="20"/>
  <c r="B39" i="20"/>
  <c r="D24" i="20"/>
  <c r="D23" i="20"/>
  <c r="D22" i="20"/>
  <c r="H18" i="20"/>
  <c r="G18" i="20"/>
  <c r="F18" i="20"/>
  <c r="C18" i="20"/>
  <c r="D18" i="20"/>
  <c r="B18" i="20"/>
  <c r="E18" i="20"/>
  <c r="D25" i="20"/>
  <c r="D26" i="20"/>
  <c r="B41" i="20"/>
  <c r="B22" i="19"/>
  <c r="B10" i="19"/>
  <c r="B21" i="19"/>
  <c r="B20" i="19"/>
  <c r="B11" i="19"/>
  <c r="B9" i="19"/>
  <c r="D21" i="18"/>
  <c r="D20" i="18"/>
  <c r="D19" i="18"/>
  <c r="D18" i="18"/>
  <c r="D17" i="18"/>
  <c r="F27" i="8"/>
  <c r="I4" i="8"/>
  <c r="H3" i="8"/>
  <c r="I3" i="8"/>
  <c r="J3" i="8"/>
  <c r="K3" i="8"/>
  <c r="L3" i="8"/>
  <c r="M3" i="8"/>
  <c r="N3" i="8"/>
  <c r="O3" i="8"/>
  <c r="H4" i="8"/>
  <c r="J4" i="8"/>
  <c r="K4" i="8"/>
  <c r="L4" i="8"/>
  <c r="M4" i="8"/>
  <c r="N4" i="8"/>
  <c r="O4" i="8"/>
  <c r="H5" i="8"/>
  <c r="I5" i="8"/>
  <c r="J5" i="8"/>
  <c r="K5" i="8"/>
  <c r="L5" i="8"/>
  <c r="M5" i="8"/>
  <c r="N5" i="8"/>
  <c r="O5" i="8"/>
  <c r="H6" i="8"/>
  <c r="I6" i="8"/>
  <c r="J6" i="8"/>
  <c r="K6" i="8"/>
  <c r="L6" i="8"/>
  <c r="M6" i="8"/>
  <c r="N6" i="8"/>
  <c r="O6" i="8"/>
  <c r="U6" i="8"/>
  <c r="V6" i="8"/>
  <c r="H7" i="8"/>
  <c r="I7" i="8"/>
  <c r="J7" i="8"/>
  <c r="K7" i="8"/>
  <c r="L7" i="8"/>
  <c r="M7" i="8"/>
  <c r="N7" i="8"/>
  <c r="O7" i="8"/>
  <c r="U7" i="8"/>
  <c r="V7" i="8"/>
  <c r="H8" i="8"/>
  <c r="I8" i="8"/>
  <c r="J8" i="8"/>
  <c r="K8" i="8"/>
  <c r="L8" i="8"/>
  <c r="M8" i="8"/>
  <c r="N8" i="8"/>
  <c r="O8" i="8"/>
  <c r="H9" i="8"/>
  <c r="I9" i="8"/>
  <c r="J9" i="8"/>
  <c r="K9" i="8"/>
  <c r="L9" i="8"/>
  <c r="M9" i="8"/>
  <c r="N9" i="8"/>
  <c r="O9" i="8"/>
  <c r="H10" i="8"/>
  <c r="I10" i="8"/>
  <c r="J10" i="8"/>
  <c r="K10" i="8"/>
  <c r="L10" i="8"/>
  <c r="M10" i="8"/>
  <c r="N10" i="8"/>
  <c r="O10" i="8"/>
  <c r="H11" i="8"/>
  <c r="I11" i="8"/>
  <c r="J11" i="8"/>
  <c r="K11" i="8"/>
  <c r="L11" i="8"/>
  <c r="M11" i="8"/>
  <c r="N11" i="8"/>
  <c r="O11" i="8"/>
  <c r="V11" i="8"/>
  <c r="H12" i="8"/>
  <c r="I12" i="8"/>
  <c r="J12" i="8"/>
  <c r="K12" i="8"/>
  <c r="L12" i="8"/>
  <c r="M12" i="8"/>
  <c r="N12" i="8"/>
  <c r="O12" i="8"/>
  <c r="V12" i="8"/>
  <c r="H13" i="8"/>
  <c r="I13" i="8"/>
  <c r="J13" i="8"/>
  <c r="K13" i="8"/>
  <c r="L13" i="8"/>
  <c r="M13" i="8"/>
  <c r="N13" i="8"/>
  <c r="O13" i="8"/>
  <c r="V13" i="8"/>
  <c r="H14" i="8"/>
  <c r="I14" i="8"/>
  <c r="J14" i="8"/>
  <c r="K14" i="8"/>
  <c r="L14" i="8"/>
  <c r="M14" i="8"/>
  <c r="N14" i="8"/>
  <c r="O14" i="8"/>
  <c r="H15" i="8"/>
  <c r="I15" i="8"/>
  <c r="J15" i="8"/>
  <c r="K15" i="8"/>
  <c r="L15" i="8"/>
  <c r="M15" i="8"/>
  <c r="N15" i="8"/>
  <c r="O15" i="8"/>
  <c r="H16" i="8"/>
  <c r="I16" i="8"/>
  <c r="J16" i="8"/>
  <c r="K16" i="8"/>
  <c r="L16" i="8"/>
  <c r="M16" i="8"/>
  <c r="N16" i="8"/>
  <c r="O16" i="8"/>
  <c r="H17" i="8"/>
  <c r="I17" i="8"/>
  <c r="J17" i="8"/>
  <c r="K17" i="8"/>
  <c r="L17" i="8"/>
  <c r="M17" i="8"/>
  <c r="N17" i="8"/>
  <c r="O17" i="8"/>
  <c r="V17" i="8"/>
  <c r="H18" i="8"/>
  <c r="I18" i="8"/>
  <c r="J18" i="8"/>
  <c r="K18" i="8"/>
  <c r="L18" i="8"/>
  <c r="M18" i="8"/>
  <c r="N18" i="8"/>
  <c r="O18" i="8"/>
  <c r="V18" i="8"/>
  <c r="H19" i="8"/>
  <c r="I19" i="8"/>
  <c r="J19" i="8"/>
  <c r="K19" i="8"/>
  <c r="L19" i="8"/>
  <c r="M19" i="8"/>
  <c r="N19" i="8"/>
  <c r="O19" i="8"/>
  <c r="V19" i="8"/>
  <c r="H20" i="8"/>
  <c r="M20" i="8" s="1"/>
  <c r="I20" i="8"/>
  <c r="J20" i="8"/>
  <c r="K20" i="8"/>
  <c r="L20" i="8"/>
  <c r="N20" i="8"/>
  <c r="O20" i="8"/>
  <c r="H21" i="8"/>
  <c r="I21" i="8"/>
  <c r="J21" i="8"/>
  <c r="K21" i="8"/>
  <c r="L21" i="8"/>
  <c r="M21" i="8"/>
  <c r="N21" i="8"/>
  <c r="O21" i="8"/>
  <c r="H22" i="8"/>
  <c r="I22" i="8"/>
  <c r="J22" i="8"/>
  <c r="K22" i="8"/>
  <c r="L22" i="8"/>
  <c r="M22" i="8"/>
  <c r="N22" i="8"/>
  <c r="O22" i="8"/>
  <c r="K27" i="8"/>
  <c r="O27" i="8"/>
  <c r="F28" i="8"/>
  <c r="K28" i="8"/>
  <c r="O28" i="8"/>
  <c r="F29" i="8"/>
  <c r="K29" i="8"/>
  <c r="O29" i="8"/>
  <c r="F33" i="8"/>
  <c r="K33" i="8"/>
  <c r="O33" i="8"/>
  <c r="F34" i="8"/>
  <c r="K34" i="8"/>
  <c r="O34" i="8"/>
  <c r="F35" i="8"/>
  <c r="K35" i="8"/>
  <c r="O35" i="8"/>
  <c r="G3" i="13"/>
  <c r="F3" i="13"/>
  <c r="G4" i="13"/>
  <c r="G5" i="13"/>
  <c r="G6" i="13"/>
  <c r="G7" i="13"/>
  <c r="G8" i="13"/>
  <c r="G9" i="13"/>
  <c r="G10" i="13"/>
  <c r="G11" i="13"/>
  <c r="G12" i="13"/>
  <c r="F4" i="13"/>
  <c r="F5" i="13"/>
  <c r="F6" i="13"/>
  <c r="F7" i="13"/>
  <c r="F8" i="13"/>
  <c r="F9" i="13"/>
  <c r="F10" i="13"/>
  <c r="F11" i="13"/>
  <c r="F12" i="13"/>
  <c r="D19" i="12" a="1"/>
  <c r="D16" i="12"/>
  <c r="B19" i="12"/>
  <c r="B18" i="12"/>
  <c r="B17" i="12"/>
  <c r="B16" i="12"/>
  <c r="B4" i="29"/>
  <c r="D5" i="29"/>
  <c r="D6" i="29"/>
  <c r="D7" i="29"/>
  <c r="F5" i="29"/>
  <c r="F6" i="29"/>
  <c r="F4" i="29"/>
  <c r="D4" i="29"/>
  <c r="B5" i="29"/>
  <c r="B6" i="29"/>
  <c r="I15" i="16"/>
  <c r="I14" i="16"/>
  <c r="I13" i="16"/>
  <c r="I11" i="16"/>
  <c r="I9" i="16"/>
  <c r="I10" i="16"/>
  <c r="I8" i="16"/>
  <c r="I4" i="16"/>
  <c r="I5" i="16"/>
  <c r="I6" i="16"/>
  <c r="I7" i="16"/>
  <c r="I12" i="16"/>
  <c r="I3" i="16"/>
  <c r="H9" i="16"/>
  <c r="H8" i="16"/>
  <c r="H4" i="16"/>
  <c r="H5" i="16"/>
  <c r="H6" i="16"/>
  <c r="H7" i="16"/>
  <c r="H10" i="16"/>
  <c r="H11" i="16"/>
  <c r="H12" i="16"/>
  <c r="H13" i="16"/>
  <c r="H14" i="16"/>
  <c r="H15" i="16"/>
  <c r="H3" i="16"/>
  <c r="G14" i="17"/>
  <c r="G15" i="17"/>
  <c r="G13" i="17"/>
  <c r="G9" i="17"/>
  <c r="G10" i="17"/>
  <c r="G11" i="17"/>
  <c r="G12" i="17"/>
  <c r="G8" i="17"/>
  <c r="G4" i="17"/>
  <c r="G5" i="17"/>
  <c r="G6" i="17"/>
  <c r="G7" i="17"/>
  <c r="G3" i="17"/>
  <c r="H3" i="15"/>
  <c r="I3" i="15"/>
  <c r="I23" i="1"/>
  <c r="I31" i="1"/>
  <c r="I24" i="1"/>
  <c r="I25" i="1"/>
  <c r="I26" i="1"/>
  <c r="I27" i="1"/>
  <c r="I28" i="1"/>
  <c r="I29" i="1"/>
  <c r="I30" i="1"/>
  <c r="I22" i="1"/>
  <c r="I15" i="15"/>
  <c r="I11" i="15"/>
  <c r="I9" i="15"/>
  <c r="I10" i="15"/>
  <c r="I12" i="15"/>
  <c r="I13" i="15"/>
  <c r="I14" i="15"/>
  <c r="I8" i="15"/>
  <c r="I4" i="15"/>
  <c r="I5" i="15"/>
  <c r="I6" i="15"/>
  <c r="I7" i="15"/>
  <c r="H15" i="15"/>
  <c r="H14" i="15"/>
  <c r="H13" i="15"/>
  <c r="H11" i="15"/>
  <c r="H9" i="15"/>
  <c r="H10" i="15"/>
  <c r="H8" i="15"/>
  <c r="H4" i="15"/>
  <c r="H5" i="15"/>
  <c r="H6" i="15"/>
  <c r="H7" i="15"/>
  <c r="H12" i="15"/>
  <c r="G6" i="14"/>
  <c r="D4" i="11"/>
  <c r="C4" i="11"/>
  <c r="B5" i="10"/>
  <c r="B4" i="10"/>
  <c r="B3" i="10"/>
  <c r="C15" i="9"/>
  <c r="C14" i="9"/>
  <c r="C13" i="9"/>
  <c r="C12" i="9"/>
  <c r="H23" i="1" a="1"/>
  <c r="H24" i="1" a="1"/>
  <c r="H25" i="1" a="1"/>
  <c r="H26" i="1" a="1"/>
  <c r="H27" i="1" a="1"/>
  <c r="H28" i="1" a="1"/>
  <c r="H29" i="1" a="1"/>
  <c r="H30" i="1" a="1"/>
  <c r="H31" i="1" a="1"/>
  <c r="H22" i="1" a="1"/>
  <c r="U14" i="1" a="1"/>
  <c r="U13" i="1" a="1"/>
  <c r="G23" i="1"/>
  <c r="G24" i="1"/>
  <c r="G25" i="1"/>
  <c r="G26" i="1"/>
  <c r="G27" i="1"/>
  <c r="G28" i="1"/>
  <c r="G29" i="1"/>
  <c r="G30" i="1"/>
  <c r="G31" i="1"/>
  <c r="G22" i="1"/>
  <c r="U15" i="1" a="1"/>
  <c r="U16" i="1" a="1"/>
  <c r="U17" i="1" a="1"/>
  <c r="M14" i="1"/>
  <c r="M15" i="1"/>
  <c r="M16" i="1"/>
  <c r="M17" i="1"/>
  <c r="M13" i="1"/>
  <c r="G13" i="1" a="1"/>
  <c r="G14" i="1" a="1"/>
  <c r="G15" i="1" a="1"/>
  <c r="G16" i="1" a="1"/>
  <c r="G17" i="1" a="1"/>
  <c r="C4" i="1"/>
  <c r="Q4" i="1" l="1" a="1"/>
  <c r="G32" i="7"/>
  <c r="E32" i="7"/>
  <c r="D32" i="7"/>
  <c r="F32" i="7" s="1"/>
  <c r="H32" i="7" s="1"/>
  <c r="G31" i="7"/>
  <c r="F31" i="7"/>
  <c r="H31" i="7" s="1"/>
  <c r="E31" i="7"/>
  <c r="D31" i="7"/>
  <c r="G30" i="7"/>
  <c r="E30" i="7"/>
  <c r="D30" i="7"/>
  <c r="F30" i="7" s="1"/>
  <c r="H30" i="7" s="1"/>
  <c r="G29" i="7"/>
  <c r="E29" i="7"/>
  <c r="D29" i="7"/>
  <c r="F29" i="7" s="1"/>
  <c r="H29" i="7" s="1"/>
  <c r="G28" i="7"/>
  <c r="E28" i="7"/>
  <c r="F28" i="7" s="1"/>
  <c r="H28" i="7" s="1"/>
  <c r="D28" i="7"/>
  <c r="G27" i="7"/>
  <c r="F27" i="7"/>
  <c r="H27" i="7" s="1"/>
  <c r="E27" i="7"/>
  <c r="D27" i="7"/>
  <c r="G26" i="7"/>
  <c r="E26" i="7"/>
  <c r="D26" i="7"/>
  <c r="F26" i="7" s="1"/>
  <c r="H26" i="7" s="1"/>
  <c r="G25" i="7"/>
  <c r="E25" i="7"/>
  <c r="D25" i="7"/>
  <c r="F25" i="7" s="1"/>
  <c r="H25" i="7" s="1"/>
  <c r="G24" i="7"/>
  <c r="E24" i="7"/>
  <c r="F24" i="7" s="1"/>
  <c r="H24" i="7" s="1"/>
  <c r="D24" i="7"/>
  <c r="G23" i="7"/>
  <c r="F23" i="7"/>
  <c r="H23" i="7" s="1"/>
  <c r="E23" i="7"/>
  <c r="D23" i="7"/>
  <c r="G22" i="7"/>
  <c r="E22" i="7"/>
  <c r="D22" i="7"/>
  <c r="F22" i="7" s="1"/>
  <c r="H22" i="7" s="1"/>
  <c r="G21" i="7"/>
  <c r="E21" i="7"/>
  <c r="D21" i="7"/>
  <c r="F21" i="7" s="1"/>
  <c r="H21" i="7" s="1"/>
  <c r="G20" i="7"/>
  <c r="E20" i="7"/>
  <c r="F20" i="7" s="1"/>
  <c r="H20" i="7" s="1"/>
  <c r="D20" i="7"/>
  <c r="G19" i="7"/>
  <c r="F19" i="7"/>
  <c r="H19" i="7" s="1"/>
  <c r="E19" i="7"/>
  <c r="D19" i="7"/>
  <c r="G18" i="7"/>
  <c r="E18" i="7"/>
  <c r="D18" i="7"/>
  <c r="F18" i="7" s="1"/>
  <c r="H18" i="7" s="1"/>
  <c r="G17" i="7"/>
  <c r="E17" i="7"/>
  <c r="D17" i="7"/>
  <c r="F17" i="7" s="1"/>
  <c r="H17" i="7" s="1"/>
  <c r="G16" i="7"/>
  <c r="E16" i="7"/>
  <c r="F16" i="7" s="1"/>
  <c r="H16" i="7" s="1"/>
  <c r="D16" i="7"/>
  <c r="G15" i="7"/>
  <c r="F15" i="7"/>
  <c r="H15" i="7" s="1"/>
  <c r="E15" i="7"/>
  <c r="D15" i="7"/>
  <c r="G14" i="7"/>
  <c r="E14" i="7"/>
  <c r="D14" i="7"/>
  <c r="F14" i="7" s="1"/>
  <c r="H14" i="7" s="1"/>
  <c r="G13" i="7"/>
  <c r="E13" i="7"/>
  <c r="D13" i="7"/>
  <c r="F13" i="7" s="1"/>
  <c r="H13" i="7" s="1"/>
  <c r="G12" i="7"/>
  <c r="E12" i="7"/>
  <c r="F12" i="7" s="1"/>
  <c r="H12" i="7" s="1"/>
  <c r="D12" i="7"/>
  <c r="G11" i="7"/>
  <c r="F11" i="7"/>
  <c r="H11" i="7" s="1"/>
  <c r="E11" i="7"/>
  <c r="D11" i="7"/>
  <c r="G10" i="7"/>
  <c r="E10" i="7"/>
  <c r="D10" i="7"/>
  <c r="F10" i="7" s="1"/>
  <c r="H10" i="7" s="1"/>
  <c r="G9" i="7"/>
  <c r="E9" i="7"/>
  <c r="D9" i="7"/>
  <c r="F9" i="7" s="1"/>
  <c r="H9" i="7" s="1"/>
  <c r="G8" i="7"/>
  <c r="E8" i="7"/>
  <c r="F8" i="7" s="1"/>
  <c r="H8" i="7" s="1"/>
  <c r="D8" i="7"/>
  <c r="G7" i="7"/>
  <c r="F7" i="7"/>
  <c r="H7" i="7" s="1"/>
  <c r="E7" i="7"/>
  <c r="D7" i="7"/>
  <c r="G6" i="7"/>
  <c r="E6" i="7"/>
  <c r="D6" i="7"/>
  <c r="F6" i="7" s="1"/>
  <c r="H6" i="7" s="1"/>
  <c r="G5" i="7"/>
  <c r="E5" i="7"/>
  <c r="D5" i="7"/>
  <c r="F5" i="7" s="1"/>
  <c r="H5" i="7" s="1"/>
  <c r="G4" i="7"/>
  <c r="E4" i="7"/>
  <c r="F4" i="7" s="1"/>
  <c r="H4" i="7" s="1"/>
  <c r="D4" i="7"/>
  <c r="G3" i="7"/>
  <c r="F3" i="7"/>
  <c r="H3" i="7" s="1"/>
  <c r="E3" i="7"/>
  <c r="D3" i="7"/>
  <c r="G14" i="6"/>
  <c r="E14" i="6"/>
  <c r="D14" i="6"/>
  <c r="F14" i="6" s="1"/>
  <c r="H14" i="6" s="1"/>
  <c r="G13" i="6"/>
  <c r="E13" i="6"/>
  <c r="D13" i="6"/>
  <c r="F13" i="6" s="1"/>
  <c r="H13" i="6" s="1"/>
  <c r="G12" i="6"/>
  <c r="E12" i="6"/>
  <c r="D12" i="6"/>
  <c r="F12" i="6" s="1"/>
  <c r="H12" i="6" s="1"/>
  <c r="G11" i="6"/>
  <c r="E11" i="6"/>
  <c r="F11" i="6" s="1"/>
  <c r="H11" i="6" s="1"/>
  <c r="D11" i="6"/>
  <c r="G10" i="6"/>
  <c r="F10" i="6"/>
  <c r="H10" i="6" s="1"/>
  <c r="E10" i="6"/>
  <c r="D10" i="6"/>
  <c r="G9" i="6"/>
  <c r="E9" i="6"/>
  <c r="D9" i="6"/>
  <c r="F9" i="6" s="1"/>
  <c r="H9" i="6" s="1"/>
  <c r="G8" i="6"/>
  <c r="E8" i="6"/>
  <c r="D8" i="6"/>
  <c r="F8" i="6" s="1"/>
  <c r="H8" i="6" s="1"/>
  <c r="G7" i="6"/>
  <c r="E7" i="6"/>
  <c r="F7" i="6" s="1"/>
  <c r="H7" i="6" s="1"/>
  <c r="D7" i="6"/>
  <c r="G6" i="6"/>
  <c r="F6" i="6"/>
  <c r="H6" i="6" s="1"/>
  <c r="E6" i="6"/>
  <c r="D6" i="6"/>
  <c r="G5" i="6"/>
  <c r="E5" i="6"/>
  <c r="D5" i="6"/>
  <c r="F5" i="6" s="1"/>
  <c r="H5" i="6" s="1"/>
  <c r="G4" i="6"/>
  <c r="E4" i="6"/>
  <c r="D4" i="6"/>
  <c r="F4" i="6" s="1"/>
  <c r="H4" i="6" s="1"/>
  <c r="G3" i="6"/>
  <c r="E3" i="6"/>
  <c r="F3" i="6" s="1"/>
  <c r="H3" i="6" s="1"/>
  <c r="D3" i="6"/>
  <c r="F4" i="5" l="1"/>
  <c r="F6" i="5"/>
  <c r="F7" i="5"/>
  <c r="F8" i="5"/>
  <c r="F9" i="5"/>
  <c r="F10" i="5"/>
  <c r="F11" i="5"/>
  <c r="F12" i="5"/>
  <c r="F13" i="5"/>
  <c r="F5" i="5"/>
  <c r="C16" i="4"/>
  <c r="C15" i="4"/>
  <c r="C14" i="4"/>
  <c r="C13" i="4"/>
  <c r="G11" i="3"/>
  <c r="G12" i="3"/>
  <c r="G13" i="3"/>
  <c r="F5" i="3"/>
  <c r="F6" i="3"/>
  <c r="F7" i="3"/>
  <c r="F8" i="3"/>
  <c r="A36" i="3"/>
  <c r="A33" i="3"/>
  <c r="B30" i="3"/>
  <c r="B27" i="3"/>
  <c r="B24" i="3"/>
  <c r="A21" i="3"/>
  <c r="B18" i="3"/>
  <c r="B15" i="3"/>
  <c r="B12" i="3"/>
  <c r="A9" i="3"/>
  <c r="A6" i="3"/>
  <c r="A3" i="3"/>
  <c r="B19" i="2"/>
  <c r="E13" i="2"/>
  <c r="B13" i="2"/>
  <c r="E7" i="2"/>
  <c r="B7" i="2"/>
  <c r="D4" i="1"/>
  <c r="Q5" i="1" a="1"/>
  <c r="Q6" i="1" a="1"/>
  <c r="Q7" i="1" a="1"/>
  <c r="H4" i="1"/>
  <c r="H5" i="1"/>
  <c r="H6" i="1"/>
  <c r="H7" i="1"/>
  <c r="H3" i="1"/>
  <c r="D5" i="1"/>
  <c r="D6" i="1"/>
  <c r="C5" i="1"/>
  <c r="C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<sst xmlns="http://schemas.openxmlformats.org/spreadsheetml/2006/main" count="1196" uniqueCount="446">
  <si>
    <t>IF CONDITION</t>
  </si>
  <si>
    <t>A(NAME)</t>
  </si>
  <si>
    <t>B(SALES)</t>
  </si>
  <si>
    <t>GOOD/BAD</t>
  </si>
  <si>
    <t>DISCOUNT</t>
  </si>
  <si>
    <t>Arun</t>
  </si>
  <si>
    <t>Nisha</t>
  </si>
  <si>
    <t>Pavi</t>
  </si>
  <si>
    <t>To Find Sales Are Good or Bad</t>
  </si>
  <si>
    <t>Discount 10%</t>
  </si>
  <si>
    <t>SUBRACTION</t>
  </si>
  <si>
    <t>IFS CONDITION</t>
  </si>
  <si>
    <t>NAME</t>
  </si>
  <si>
    <t>TAMIL</t>
  </si>
  <si>
    <t>ENGLISH</t>
  </si>
  <si>
    <t>MATHS</t>
  </si>
  <si>
    <t>SCIENCE</t>
  </si>
  <si>
    <t>SOCIAL</t>
  </si>
  <si>
    <t>G TAMIL</t>
  </si>
  <si>
    <t>G ENG</t>
  </si>
  <si>
    <t>G MATHS</t>
  </si>
  <si>
    <t>G SCIENCE</t>
  </si>
  <si>
    <t>G SOCIAL</t>
  </si>
  <si>
    <t>DIVYA</t>
  </si>
  <si>
    <t>OVIYA</t>
  </si>
  <si>
    <t>PRIYA</t>
  </si>
  <si>
    <t>POOJA</t>
  </si>
  <si>
    <t>IF AND CONDITION</t>
  </si>
  <si>
    <t>PMT</t>
  </si>
  <si>
    <t>PRESENT VALUE</t>
  </si>
  <si>
    <t>RATE</t>
  </si>
  <si>
    <t>NPER</t>
  </si>
  <si>
    <t>PM T</t>
  </si>
  <si>
    <t>FV</t>
  </si>
  <si>
    <t>PV</t>
  </si>
  <si>
    <t>TIME &amp; DATE</t>
  </si>
  <si>
    <t>TODAY</t>
  </si>
  <si>
    <t>NOW</t>
  </si>
  <si>
    <t>DATE</t>
  </si>
  <si>
    <t>DAY</t>
  </si>
  <si>
    <t>MONTH</t>
  </si>
  <si>
    <t>YEAR</t>
  </si>
  <si>
    <t>TIME</t>
  </si>
  <si>
    <t>HOUR</t>
  </si>
  <si>
    <t>MINUTES</t>
  </si>
  <si>
    <t>SECONDS</t>
  </si>
  <si>
    <t>DATE VAUE</t>
  </si>
  <si>
    <t>TIME VALUE</t>
  </si>
  <si>
    <t>WEEKDAYS</t>
  </si>
  <si>
    <t>SUNDAY IS THE FIRST DAY</t>
  </si>
  <si>
    <t>DATEDIF</t>
  </si>
  <si>
    <t xml:space="preserve">NAME </t>
  </si>
  <si>
    <t>EXCEL COUNT, COUNTBLANK, COUNTIF &amp; COUNTIFS PRACTICE</t>
  </si>
  <si>
    <t>DEPARTMENT</t>
  </si>
  <si>
    <t>MARKS</t>
  </si>
  <si>
    <t>ATTENDANCE</t>
  </si>
  <si>
    <t>STATUS</t>
  </si>
  <si>
    <t>Neha</t>
  </si>
  <si>
    <t>Aman</t>
  </si>
  <si>
    <t>Rohit</t>
  </si>
  <si>
    <t>Pooja</t>
  </si>
  <si>
    <t>Vikas</t>
  </si>
  <si>
    <t>Simran</t>
  </si>
  <si>
    <t>Meena</t>
  </si>
  <si>
    <t>IT</t>
  </si>
  <si>
    <t>HR</t>
  </si>
  <si>
    <t>Sales</t>
  </si>
  <si>
    <t>Karan</t>
  </si>
  <si>
    <t>Pass</t>
  </si>
  <si>
    <t>Fail</t>
  </si>
  <si>
    <t>Pending</t>
  </si>
  <si>
    <t>4 CONDITIONS/QUESTIONS</t>
  </si>
  <si>
    <t>1. COUNT</t>
  </si>
  <si>
    <t>2. COUNTBLANK</t>
  </si>
  <si>
    <t>3. COUNTIF</t>
  </si>
  <si>
    <t>4. COUNTIFS</t>
  </si>
  <si>
    <t>How many values are there in the Marks column?</t>
  </si>
  <si>
    <t>How many blank cells are there in the Marks column?</t>
  </si>
  <si>
    <t>How many employees belong to the sales department?</t>
  </si>
  <si>
    <t>How many employees belong to the IT department and have marks greater than or equal to 80?</t>
  </si>
  <si>
    <t>FORMULAS &amp; ANSWERS</t>
  </si>
  <si>
    <t>COUNT</t>
  </si>
  <si>
    <t>COUNTBLANK</t>
  </si>
  <si>
    <t>COUNTIF</t>
  </si>
  <si>
    <t>COUNTIFS</t>
  </si>
  <si>
    <t>Employee ID</t>
  </si>
  <si>
    <t xml:space="preserve">Employee Name </t>
  </si>
  <si>
    <t>Perfomance Score</t>
  </si>
  <si>
    <t>Sales Target</t>
  </si>
  <si>
    <t>Project Target</t>
  </si>
  <si>
    <t>Result</t>
  </si>
  <si>
    <t>E001</t>
  </si>
  <si>
    <t>E002</t>
  </si>
  <si>
    <t>E003</t>
  </si>
  <si>
    <t>E004</t>
  </si>
  <si>
    <t>E005</t>
  </si>
  <si>
    <t>E006</t>
  </si>
  <si>
    <t>E007</t>
  </si>
  <si>
    <t>E008</t>
  </si>
  <si>
    <t>E009</t>
  </si>
  <si>
    <t>E010</t>
  </si>
  <si>
    <t>Not Achieved</t>
  </si>
  <si>
    <t>Achieved</t>
  </si>
  <si>
    <t>Priya</t>
  </si>
  <si>
    <t>Fathima</t>
  </si>
  <si>
    <t>Angel</t>
  </si>
  <si>
    <t>Preethi</t>
  </si>
  <si>
    <t>Kaviya</t>
  </si>
  <si>
    <t>Bhuvana</t>
  </si>
  <si>
    <t>Merlin</t>
  </si>
  <si>
    <t>Pavithra</t>
  </si>
  <si>
    <t>Monica</t>
  </si>
  <si>
    <t>Hema</t>
  </si>
  <si>
    <t>SALARY SHEET</t>
  </si>
  <si>
    <t>S:NO</t>
  </si>
  <si>
    <t>Employee Name</t>
  </si>
  <si>
    <t xml:space="preserve">Basic Salary </t>
  </si>
  <si>
    <t>DA 10%</t>
  </si>
  <si>
    <t>HRA 15%</t>
  </si>
  <si>
    <t>Gross Salary (CTC)</t>
  </si>
  <si>
    <t>PF 5%</t>
  </si>
  <si>
    <t>Net Salary (In Hand)</t>
  </si>
  <si>
    <t>Silviya Angel</t>
  </si>
  <si>
    <t>Nandhini</t>
  </si>
  <si>
    <t>priya</t>
  </si>
  <si>
    <t>Ashwini</t>
  </si>
  <si>
    <t>Sudhan</t>
  </si>
  <si>
    <t>Kumar</t>
  </si>
  <si>
    <t>Raghul</t>
  </si>
  <si>
    <t>Charan</t>
  </si>
  <si>
    <t>Prem</t>
  </si>
  <si>
    <t>Sanjay</t>
  </si>
  <si>
    <t>Kavya</t>
  </si>
  <si>
    <t>Charu</t>
  </si>
  <si>
    <t>Varun</t>
  </si>
  <si>
    <t>Rohan</t>
  </si>
  <si>
    <t>Kalai</t>
  </si>
  <si>
    <t>Vishnu</t>
  </si>
  <si>
    <t>Velan</t>
  </si>
  <si>
    <t>Varsha</t>
  </si>
  <si>
    <t>Raghavi</t>
  </si>
  <si>
    <t>Janani</t>
  </si>
  <si>
    <t>Jhanvi</t>
  </si>
  <si>
    <t>Sethu</t>
  </si>
  <si>
    <t>Saravanan</t>
  </si>
  <si>
    <t>Gokul</t>
  </si>
  <si>
    <t>Aishwarya</t>
  </si>
  <si>
    <t>PASS OR FAIL</t>
  </si>
  <si>
    <t>Silviya</t>
  </si>
  <si>
    <t xml:space="preserve">SCIENCE     </t>
  </si>
  <si>
    <t>ITEMS</t>
  </si>
  <si>
    <t>PS/2020</t>
  </si>
  <si>
    <t>PS/2021</t>
  </si>
  <si>
    <t>PS/2022</t>
  </si>
  <si>
    <t>Apple</t>
  </si>
  <si>
    <t>Ball</t>
  </si>
  <si>
    <t>Egg</t>
  </si>
  <si>
    <t>Doll</t>
  </si>
  <si>
    <t>Can</t>
  </si>
  <si>
    <t>IF OR CONDITION</t>
  </si>
  <si>
    <t>PASS/FAIL</t>
  </si>
  <si>
    <t>Swetha</t>
  </si>
  <si>
    <t>IF RANK CONDITION</t>
  </si>
  <si>
    <t>TOTAL</t>
  </si>
  <si>
    <t>RANK</t>
  </si>
  <si>
    <t>An employee will be eligible for the bonus if their performance score is 80 or above and they have achieved either the sales target or the project target. Otherwise, they will be Not Eligible.</t>
  </si>
  <si>
    <t>FORMULA FOR EXCEL BEGINNERS</t>
  </si>
  <si>
    <t>MAX FORMULA</t>
  </si>
  <si>
    <t>COUNT FORMULA</t>
  </si>
  <si>
    <t>MIN FORMULA</t>
  </si>
  <si>
    <t>AVERAGE FORMULA</t>
  </si>
  <si>
    <t>SUMIF VS COUNTIF VS AVERAGEIF</t>
  </si>
  <si>
    <t>SALES PERSON</t>
  </si>
  <si>
    <t>REGION</t>
  </si>
  <si>
    <t>PRODUCT</t>
  </si>
  <si>
    <t>SALES</t>
  </si>
  <si>
    <t>North</t>
  </si>
  <si>
    <t>South</t>
  </si>
  <si>
    <t>West</t>
  </si>
  <si>
    <t>East</t>
  </si>
  <si>
    <t>Laptop</t>
  </si>
  <si>
    <t>Mobile</t>
  </si>
  <si>
    <t>Tablet</t>
  </si>
  <si>
    <t>SUMIF</t>
  </si>
  <si>
    <t>AVERAGEIF</t>
  </si>
  <si>
    <t>ARUN</t>
  </si>
  <si>
    <t>SUMIFS</t>
  </si>
  <si>
    <t>QUESTION</t>
  </si>
  <si>
    <t>FORMULA</t>
  </si>
  <si>
    <t>RESULT</t>
  </si>
  <si>
    <t>Total sales for Arun in South region</t>
  </si>
  <si>
    <t>DAYS</t>
  </si>
  <si>
    <t>EMPLOYER ID</t>
  </si>
  <si>
    <t>SALARY</t>
  </si>
  <si>
    <t>VLOOKUP Search</t>
  </si>
  <si>
    <t>Anjali</t>
  </si>
  <si>
    <t>Maran</t>
  </si>
  <si>
    <t>Divya</t>
  </si>
  <si>
    <t>Finance</t>
  </si>
  <si>
    <t>Operations</t>
  </si>
  <si>
    <t>ENTER EMPLOYEE ID</t>
  </si>
  <si>
    <t>RAW DATA EXTRACT</t>
  </si>
  <si>
    <t>EMPLOYEE ID</t>
  </si>
  <si>
    <t>LAST NAME</t>
  </si>
  <si>
    <t>FIRST NAME</t>
  </si>
  <si>
    <t>Doe</t>
  </si>
  <si>
    <t>Cline</t>
  </si>
  <si>
    <t>Smith</t>
  </si>
  <si>
    <t>Pan</t>
  </si>
  <si>
    <t>Elway</t>
  </si>
  <si>
    <t>Manning</t>
  </si>
  <si>
    <t>Vick</t>
  </si>
  <si>
    <t>Woods</t>
  </si>
  <si>
    <t xml:space="preserve"> Jordan</t>
  </si>
  <si>
    <t>Stark</t>
  </si>
  <si>
    <t>Williams</t>
  </si>
  <si>
    <t>Pitt</t>
  </si>
  <si>
    <t>Favre</t>
  </si>
  <si>
    <t>John</t>
  </si>
  <si>
    <t>Andy</t>
  </si>
  <si>
    <t>Peter</t>
  </si>
  <si>
    <t>Bret</t>
  </si>
  <si>
    <t>Eli</t>
  </si>
  <si>
    <t>Tiger</t>
  </si>
  <si>
    <t>Micheal</t>
  </si>
  <si>
    <t>Tony</t>
  </si>
  <si>
    <t>Prince</t>
  </si>
  <si>
    <t>Brad</t>
  </si>
  <si>
    <t>PAY REPORT</t>
  </si>
  <si>
    <t>EMPOYEE ID</t>
  </si>
  <si>
    <t>PAY</t>
  </si>
  <si>
    <t>RAW DATA EXTRACT #1</t>
  </si>
  <si>
    <t xml:space="preserve">FIRST NAME </t>
  </si>
  <si>
    <t>RAW DATA EXTRACT #2</t>
  </si>
  <si>
    <t xml:space="preserve">EMPLOYEE ID </t>
  </si>
  <si>
    <t xml:space="preserve">CITY </t>
  </si>
  <si>
    <t>STATE</t>
  </si>
  <si>
    <t>Columbus</t>
  </si>
  <si>
    <t>Chicago</t>
  </si>
  <si>
    <t>Tampa Bay</t>
  </si>
  <si>
    <t>Austin</t>
  </si>
  <si>
    <t>Ohio</t>
  </si>
  <si>
    <t>Illnois</t>
  </si>
  <si>
    <t>Florida</t>
  </si>
  <si>
    <t>Texas</t>
  </si>
  <si>
    <t>PAY BAND TABLE</t>
  </si>
  <si>
    <t>PAY MIN</t>
  </si>
  <si>
    <t>PAY BAND</t>
  </si>
  <si>
    <t>Level A</t>
  </si>
  <si>
    <t>Level B</t>
  </si>
  <si>
    <t>Level C</t>
  </si>
  <si>
    <t>Level D</t>
  </si>
  <si>
    <t>Level E</t>
  </si>
  <si>
    <t>CITY</t>
  </si>
  <si>
    <t>FINANCIAL CALCULATION</t>
  </si>
  <si>
    <t>EMPLOYEE</t>
  </si>
  <si>
    <t>LOCATION</t>
  </si>
  <si>
    <t>QUANTITY</t>
  </si>
  <si>
    <t>Asha</t>
  </si>
  <si>
    <t>Customer Support</t>
  </si>
  <si>
    <t>Chennai</t>
  </si>
  <si>
    <t>Ravi</t>
  </si>
  <si>
    <t>Bangalore</t>
  </si>
  <si>
    <t>Monitor</t>
  </si>
  <si>
    <t>Keyboard</t>
  </si>
  <si>
    <t>Kiran</t>
  </si>
  <si>
    <t>Technical Support</t>
  </si>
  <si>
    <t>Hyderabad</t>
  </si>
  <si>
    <t>Mouse</t>
  </si>
  <si>
    <t>UNIT PRICE</t>
  </si>
  <si>
    <t>SALES AMOUNT</t>
  </si>
  <si>
    <t>Row Labels</t>
  </si>
  <si>
    <t>Grand Total</t>
  </si>
  <si>
    <t>Sum of UNIT PRICE</t>
  </si>
  <si>
    <t>Sum of SALES AMOUNT</t>
  </si>
  <si>
    <t>Sum of QUANTITY</t>
  </si>
  <si>
    <t>PIVOT TABLE</t>
  </si>
  <si>
    <t>PIVOT CHART</t>
  </si>
  <si>
    <t>DATA VALIDATION &amp;  FILTER</t>
  </si>
  <si>
    <t>Jan</t>
  </si>
  <si>
    <t>Mar</t>
  </si>
  <si>
    <t>Feb</t>
  </si>
  <si>
    <t>Column Labels</t>
  </si>
  <si>
    <t>PIVOT TABLE SUMMARY</t>
  </si>
  <si>
    <t>SALES BY DEPARTMENT</t>
  </si>
  <si>
    <t>TOTAL SALES</t>
  </si>
  <si>
    <t>SALES BY PRODUCT</t>
  </si>
  <si>
    <t>QUANTITY BY LOCATION</t>
  </si>
  <si>
    <t>CUSTOMER SUPPORT</t>
  </si>
  <si>
    <t>TECHNICAL SUPPORT</t>
  </si>
  <si>
    <t>CHENNAI</t>
  </si>
  <si>
    <t>BANGALORE</t>
  </si>
  <si>
    <t>HYDERABAD</t>
  </si>
  <si>
    <t>LAPTOP</t>
  </si>
  <si>
    <t>MONITOR</t>
  </si>
  <si>
    <t>MOUSE</t>
  </si>
  <si>
    <t xml:space="preserve">KEYBOARD </t>
  </si>
  <si>
    <t>DASHBOARD</t>
  </si>
  <si>
    <t>SUMIF VS SUM+FILTER FORMULA</t>
  </si>
  <si>
    <t>RM NAME</t>
  </si>
  <si>
    <t>TOWN</t>
  </si>
  <si>
    <t>SUMIF FORMULA</t>
  </si>
  <si>
    <t>Rajesh Sharma</t>
  </si>
  <si>
    <t>Vikram Malhotrta</t>
  </si>
  <si>
    <t>Anita Roy</t>
  </si>
  <si>
    <t>Deepek Verma</t>
  </si>
  <si>
    <t>Delhi</t>
  </si>
  <si>
    <t>Mumbai</t>
  </si>
  <si>
    <t>Pune</t>
  </si>
  <si>
    <t>Ahmedabad</t>
  </si>
  <si>
    <t>Kolkata</t>
  </si>
  <si>
    <t>Lucknow</t>
  </si>
  <si>
    <t>Jaipur</t>
  </si>
  <si>
    <t>SUM+FILTER FORMULA</t>
  </si>
  <si>
    <t>DATE VS EDATE FORMULA</t>
  </si>
  <si>
    <t>MONTH TO ADD</t>
  </si>
  <si>
    <t>DATE FORMULA</t>
  </si>
  <si>
    <t>EDATE FORMULA</t>
  </si>
  <si>
    <t>MATHEMATICAL FUNCTION</t>
  </si>
  <si>
    <t>S.NO</t>
  </si>
  <si>
    <t xml:space="preserve">SOCIAL </t>
  </si>
  <si>
    <t>AVERAGE</t>
  </si>
  <si>
    <t>MEDIAN</t>
  </si>
  <si>
    <t>MODE</t>
  </si>
  <si>
    <t>PERCENTAGE</t>
  </si>
  <si>
    <t>MIN</t>
  </si>
  <si>
    <t>MAX</t>
  </si>
  <si>
    <t>Renuga</t>
  </si>
  <si>
    <t xml:space="preserve"> PERCENTAGE FUNCTION</t>
  </si>
  <si>
    <t>Abi</t>
  </si>
  <si>
    <t>Lavanya</t>
  </si>
  <si>
    <t>Mini</t>
  </si>
  <si>
    <t>Malar</t>
  </si>
  <si>
    <t xml:space="preserve"> MIN FUNCTION</t>
  </si>
  <si>
    <t>Sankari</t>
  </si>
  <si>
    <t>Dharshini</t>
  </si>
  <si>
    <t>Rathi</t>
  </si>
  <si>
    <t>Lalitha</t>
  </si>
  <si>
    <t>MAX FUNCTION</t>
  </si>
  <si>
    <t>Vanitha</t>
  </si>
  <si>
    <t>Devi</t>
  </si>
  <si>
    <t>Sathya</t>
  </si>
  <si>
    <t>Lekha</t>
  </si>
  <si>
    <t>Amesha</t>
  </si>
  <si>
    <t>SUM FUNCTION</t>
  </si>
  <si>
    <t xml:space="preserve"> AVERAGE FUNCTION</t>
  </si>
  <si>
    <t>MODE FUNCTION</t>
  </si>
  <si>
    <t>MEDIAN FUNCTION</t>
  </si>
  <si>
    <t>COUNT FUNCTION</t>
  </si>
  <si>
    <t>Mohan</t>
  </si>
  <si>
    <t>JOB ROLE</t>
  </si>
  <si>
    <t xml:space="preserve">XLOOKUP Practical </t>
  </si>
  <si>
    <t>EMPLOYEE NAME</t>
  </si>
  <si>
    <t>EMP101</t>
  </si>
  <si>
    <t>ITES</t>
  </si>
  <si>
    <t>Process Executive</t>
  </si>
  <si>
    <t xml:space="preserve">Chennai </t>
  </si>
  <si>
    <t>Active</t>
  </si>
  <si>
    <t>EMP102</t>
  </si>
  <si>
    <t>HR Executive</t>
  </si>
  <si>
    <t>EMP103</t>
  </si>
  <si>
    <t>Accounts Executive</t>
  </si>
  <si>
    <t>Bengaluru</t>
  </si>
  <si>
    <t>EMP104</t>
  </si>
  <si>
    <t>EMP105</t>
  </si>
  <si>
    <t>MIS Executive</t>
  </si>
  <si>
    <t>EMP106</t>
  </si>
  <si>
    <t>Data Entey</t>
  </si>
  <si>
    <t>Coimbatore</t>
  </si>
  <si>
    <t>Inactive</t>
  </si>
  <si>
    <t>EMP107</t>
  </si>
  <si>
    <t>Support Engineer</t>
  </si>
  <si>
    <t>EMP108</t>
  </si>
  <si>
    <t>Recruiter</t>
  </si>
  <si>
    <t>EMP109</t>
  </si>
  <si>
    <t>Finance Associate</t>
  </si>
  <si>
    <t>EMP110</t>
  </si>
  <si>
    <t>Email Support</t>
  </si>
  <si>
    <t>PRACTICAL LOOKUP</t>
  </si>
  <si>
    <t>Enter Employee ID</t>
  </si>
  <si>
    <t>Department</t>
  </si>
  <si>
    <t>Salary</t>
  </si>
  <si>
    <t>Location</t>
  </si>
  <si>
    <t>Job Role</t>
  </si>
  <si>
    <t>HLOOKUP PRACTICAL EXCEL SHEET</t>
  </si>
  <si>
    <t>EMP001</t>
  </si>
  <si>
    <t>EMP002</t>
  </si>
  <si>
    <t>EMP003</t>
  </si>
  <si>
    <t>EMP004</t>
  </si>
  <si>
    <t>EMP005</t>
  </si>
  <si>
    <t>Salea</t>
  </si>
  <si>
    <t>Support</t>
  </si>
  <si>
    <t>MONTHLY SALARY</t>
  </si>
  <si>
    <t>LOOKUP EMPLOYEE ID</t>
  </si>
  <si>
    <t>P001</t>
  </si>
  <si>
    <t>P002</t>
  </si>
  <si>
    <t>P003</t>
  </si>
  <si>
    <t>P004</t>
  </si>
  <si>
    <t>P005</t>
  </si>
  <si>
    <t>PRODUCT NAME</t>
  </si>
  <si>
    <t>Keuboard</t>
  </si>
  <si>
    <t>Headset</t>
  </si>
  <si>
    <t>Webcam</t>
  </si>
  <si>
    <t>CATEGORY</t>
  </si>
  <si>
    <t>Audio</t>
  </si>
  <si>
    <t>Display</t>
  </si>
  <si>
    <t>Camera</t>
  </si>
  <si>
    <t>PRICE</t>
  </si>
  <si>
    <t>LOOKUP PRODUCT ID</t>
  </si>
  <si>
    <t>EMPLOYEE MASTER DATA</t>
  </si>
  <si>
    <t>DESIGNATION</t>
  </si>
  <si>
    <t>JOINING DATE</t>
  </si>
  <si>
    <t>VLOOKUP FORMULA</t>
  </si>
  <si>
    <t>XLOOKUP FORMULA</t>
  </si>
  <si>
    <t>Designation</t>
  </si>
  <si>
    <t>HLOOKUP FORMULA</t>
  </si>
  <si>
    <t>INDEX FUNCTION</t>
  </si>
  <si>
    <t>S.NO:</t>
  </si>
  <si>
    <t>2kg</t>
  </si>
  <si>
    <t>5kg</t>
  </si>
  <si>
    <t>10kg</t>
  </si>
  <si>
    <t>Wheat</t>
  </si>
  <si>
    <t>Oil</t>
  </si>
  <si>
    <t>Sugar</t>
  </si>
  <si>
    <t>Rice</t>
  </si>
  <si>
    <t>Salt</t>
  </si>
  <si>
    <t>Corn</t>
  </si>
  <si>
    <t>Oats</t>
  </si>
  <si>
    <t>Amaranth</t>
  </si>
  <si>
    <t>Barley</t>
  </si>
  <si>
    <t>Bulgur</t>
  </si>
  <si>
    <t>Rice (Row)</t>
  </si>
  <si>
    <t>Rice (Row + Col)</t>
  </si>
  <si>
    <t>MATCH FUNCTION</t>
  </si>
  <si>
    <t>Find Rice row number</t>
  </si>
  <si>
    <t>Find 10kg  column</t>
  </si>
  <si>
    <t>INDEX + MATCH FUNCTION</t>
  </si>
  <si>
    <t>Product</t>
  </si>
  <si>
    <t>Weight</t>
  </si>
  <si>
    <t>PRACTICE</t>
  </si>
  <si>
    <t>Find Wheat 5kg price</t>
  </si>
  <si>
    <t>Find Barley 2kg price</t>
  </si>
  <si>
    <t>Find Oats 10kg price</t>
  </si>
  <si>
    <t>RicE</t>
  </si>
  <si>
    <t>PERCENTAGE %</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</si>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</sst>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 #,##0.00;[Red]&quot;₹&quot;\ \-#,##0.00"/>
    <numFmt numFmtId="44" formatCode="_ &quot;₹&quot;\ * #,##0.00_ ;_ &quot;₹&quot;\ * \-#,##0.00_ ;_ &quot;₹&quot;\ * &quot;-&quot;??_ ;_ @_ "/>
    <numFmt numFmtId="164" formatCode="&quot;₹&quot;\ #,##0.00"/>
    <numFmt numFmtId="165" formatCode="_ [$₹-4009]\ * #,##0.00_ ;_ [$₹-4009]\ * \-#,##0.00_ ;_ [$₹-4009]\ * &quot;-&quot;??_ ;_ @_ "/>
    <numFmt numFmtId="166" formatCode="_-[$$-409]* #,##0.00_ ;_-[$$-409]* \-#,##0.00\ ;_-[$$-409]* &quot;-&quot;??_ ;_-@_ "/>
    <numFmt numFmtId="167" formatCode="dd/mmm/yyyy"/>
    <numFmt numFmtId="168" formatCode="&quot;₹&quot;#,##0"/>
  </numFmts>
  <fonts count="19">
    <font>
      <sz val="11"/>
      <color theme="1"/>
      <name val="Aptos Narrow"/>
      <family val="2"/>
      <scheme val="minor"/>
    </font>
    <font>
      <b/>
      <sz val="11"/>
      <color theme="1"/>
      <name val="Aptos Narrow"/>
      <family val="2"/>
      <scheme val="minor"/>
    </font>
    <font>
      <sz val="11"/>
      <color theme="1"/>
      <name val="Aptos Narrow"/>
      <family val="2"/>
      <scheme val="minor"/>
    </font>
    <font>
      <b/>
      <sz val="14"/>
      <color theme="1"/>
      <name val="Aptos Narrow"/>
      <family val="2"/>
      <scheme val="minor"/>
    </font>
    <font>
      <sz val="14"/>
      <color theme="1"/>
      <name val="Aptos Narrow"/>
      <family val="2"/>
      <scheme val="minor"/>
    </font>
    <font>
      <b/>
      <sz val="12"/>
      <color theme="1"/>
      <name val="Aptos Narrow"/>
      <family val="2"/>
      <scheme val="minor"/>
    </font>
    <font>
      <sz val="12"/>
      <color theme="1"/>
      <name val="Aptos Narrow"/>
      <family val="2"/>
      <scheme val="minor"/>
    </font>
    <font>
      <sz val="8"/>
      <name val="Aptos Narrow"/>
      <family val="2"/>
      <scheme val="minor"/>
    </font>
    <font>
      <sz val="11"/>
      <color indexed="8"/>
      <name val="Calibri"/>
      <charset val="134"/>
    </font>
    <font>
      <b/>
      <sz val="20"/>
      <color theme="1"/>
      <name val="Aptos Narrow"/>
      <family val="2"/>
      <scheme val="minor"/>
    </font>
    <font>
      <sz val="11"/>
      <color indexed="8"/>
      <name val="Aptos Narrow"/>
      <family val="2"/>
    </font>
    <font>
      <b/>
      <sz val="16"/>
      <color indexed="8"/>
      <name val="Aptos Narrow"/>
      <family val="2"/>
    </font>
    <font>
      <b/>
      <sz val="12"/>
      <color indexed="8"/>
      <name val="Aptos Narrow"/>
      <family val="2"/>
    </font>
    <font>
      <sz val="12"/>
      <color indexed="8"/>
      <name val="Aptos Narrow"/>
      <family val="2"/>
    </font>
    <font>
      <b/>
      <sz val="18"/>
      <color indexed="8"/>
      <name val="Aptos Narrow"/>
      <family val="2"/>
      <scheme val="minor"/>
    </font>
    <font>
      <sz val="11"/>
      <color indexed="8"/>
      <name val="Aptos Narrow"/>
      <family val="2"/>
      <scheme val="minor"/>
    </font>
    <font>
      <b/>
      <sz val="12"/>
      <color indexed="8"/>
      <name val="Aptos Narrow"/>
      <family val="2"/>
      <scheme val="minor"/>
    </font>
    <font>
      <b/>
      <sz val="18"/>
      <color indexed="8"/>
      <name val="Aptos Narrow"/>
      <family val="2"/>
    </font>
    <font>
      <b/>
      <sz val="14"/>
      <color indexed="8"/>
      <name val="Aptos Narrow"/>
      <family val="2"/>
    </font>
  </fonts>
  <fills count="37">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4"/>
        <bgColor indexed="64"/>
      </patternFill>
    </fill>
    <fill>
      <patternFill patternType="solid">
        <fgColor rgb="FFFFC000"/>
        <bgColor indexed="64"/>
      </patternFill>
    </fill>
    <fill>
      <patternFill patternType="solid">
        <fgColor theme="5" tint="0.39997558519241921"/>
        <bgColor indexed="64"/>
      </patternFill>
    </fill>
    <fill>
      <patternFill patternType="solid">
        <fgColor theme="3" tint="0.89999084444715716"/>
        <bgColor indexed="64"/>
      </patternFill>
    </fill>
    <fill>
      <patternFill patternType="solid">
        <fgColor theme="5" tint="-0.249977111117893"/>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rgb="FF00B050"/>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0"/>
        <bgColor indexed="64"/>
      </patternFill>
    </fill>
    <fill>
      <patternFill patternType="solid">
        <fgColor rgb="FF7030A0"/>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rgb="FFFFFFFF"/>
        <bgColor indexed="64"/>
      </patternFill>
    </fill>
    <fill>
      <patternFill patternType="solid">
        <fgColor rgb="FFA6C9EC"/>
        <bgColor indexed="64"/>
      </patternFill>
    </fill>
    <fill>
      <patternFill patternType="solid">
        <fgColor theme="4" tint="0.59999389629810485"/>
        <bgColor indexed="64"/>
      </patternFill>
    </fill>
    <fill>
      <patternFill patternType="solid">
        <fgColor rgb="FFB5E6A2"/>
        <bgColor indexed="64"/>
      </patternFill>
    </fill>
    <fill>
      <patternFill patternType="solid">
        <fgColor rgb="FFE49EDD"/>
        <bgColor indexed="64"/>
      </patternFill>
    </fill>
    <fill>
      <patternFill patternType="solid">
        <fgColor rgb="FFF7C7AC"/>
        <bgColor indexed="64"/>
      </patternFill>
    </fill>
    <fill>
      <patternFill patternType="solid">
        <fgColor rgb="FFCAEDFB"/>
        <bgColor indexed="64"/>
      </patternFill>
    </fill>
    <fill>
      <patternFill patternType="solid">
        <fgColor rgb="FF94DCF8"/>
        <bgColor indexed="64"/>
      </patternFill>
    </fill>
    <fill>
      <patternFill patternType="solid">
        <fgColor rgb="FFDAF2D0"/>
        <bgColor indexed="64"/>
      </patternFill>
    </fill>
    <fill>
      <patternFill patternType="solid">
        <fgColor rgb="FFF1A983"/>
        <bgColor indexed="64"/>
      </patternFill>
    </fill>
    <fill>
      <patternFill patternType="solid">
        <fgColor theme="3" tint="0.249977111117893"/>
        <bgColor indexed="64"/>
      </patternFill>
    </fill>
    <fill>
      <patternFill patternType="solid">
        <fgColor theme="6"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168">
    <xf numFmtId="0" fontId="0" fillId="0" borderId="0" xfId="0"/>
    <xf numFmtId="0" fontId="0" fillId="0" borderId="1" xfId="0" applyBorder="1"/>
    <xf numFmtId="0" fontId="0" fillId="0" borderId="1" xfId="0" applyBorder="1" applyAlignment="1">
      <alignment wrapText="1"/>
    </xf>
    <xf numFmtId="9" fontId="0" fillId="0" borderId="1" xfId="0" applyNumberFormat="1" applyBorder="1"/>
    <xf numFmtId="9" fontId="0" fillId="0" borderId="0" xfId="1" applyFont="1"/>
    <xf numFmtId="8" fontId="0" fillId="0" borderId="1" xfId="0" applyNumberFormat="1" applyBorder="1"/>
    <xf numFmtId="164" fontId="0" fillId="0" borderId="1" xfId="0" applyNumberFormat="1" applyBorder="1"/>
    <xf numFmtId="0" fontId="0" fillId="2" borderId="1" xfId="0" applyFill="1" applyBorder="1"/>
    <xf numFmtId="0" fontId="0" fillId="5" borderId="1" xfId="0" applyFill="1" applyBorder="1"/>
    <xf numFmtId="0" fontId="0" fillId="6" borderId="1" xfId="0" applyFill="1" applyBorder="1"/>
    <xf numFmtId="0" fontId="0" fillId="7" borderId="1" xfId="0" applyFill="1" applyBorder="1"/>
    <xf numFmtId="14" fontId="0" fillId="0" borderId="1" xfId="0" applyNumberFormat="1" applyBorder="1"/>
    <xf numFmtId="22" fontId="0" fillId="0" borderId="1" xfId="0" applyNumberFormat="1" applyBorder="1"/>
    <xf numFmtId="18" fontId="0" fillId="0" borderId="1" xfId="0" applyNumberFormat="1" applyBorder="1"/>
    <xf numFmtId="21" fontId="0" fillId="0" borderId="1" xfId="0" applyNumberFormat="1" applyBorder="1"/>
    <xf numFmtId="0" fontId="0" fillId="9" borderId="1" xfId="0" applyFill="1" applyBorder="1"/>
    <xf numFmtId="0" fontId="1" fillId="9" borderId="1" xfId="0" applyFont="1" applyFill="1" applyBorder="1"/>
    <xf numFmtId="0" fontId="5" fillId="11" borderId="1" xfId="0" applyFont="1" applyFill="1" applyBorder="1" applyAlignment="1">
      <alignment horizontal="center"/>
    </xf>
    <xf numFmtId="3" fontId="0" fillId="0" borderId="1" xfId="0" applyNumberFormat="1" applyBorder="1"/>
    <xf numFmtId="0" fontId="1" fillId="3" borderId="1" xfId="0" applyFont="1" applyFill="1" applyBorder="1"/>
    <xf numFmtId="0" fontId="0" fillId="0" borderId="0" xfId="0" applyAlignment="1">
      <alignment wrapText="1"/>
    </xf>
    <xf numFmtId="0" fontId="1" fillId="14" borderId="0" xfId="0" applyFont="1" applyFill="1" applyAlignment="1">
      <alignment horizontal="center"/>
    </xf>
    <xf numFmtId="0" fontId="0" fillId="14" borderId="0" xfId="0" applyFill="1" applyAlignment="1">
      <alignment horizontal="center"/>
    </xf>
    <xf numFmtId="0" fontId="0" fillId="14" borderId="0" xfId="0" applyFill="1"/>
    <xf numFmtId="0" fontId="1" fillId="0" borderId="0" xfId="0" applyFont="1"/>
    <xf numFmtId="0" fontId="1" fillId="17" borderId="1" xfId="0" applyFont="1" applyFill="1" applyBorder="1" applyAlignment="1">
      <alignment horizontal="center"/>
    </xf>
    <xf numFmtId="15" fontId="0" fillId="0" borderId="1" xfId="0" applyNumberFormat="1" applyBorder="1" applyAlignment="1">
      <alignment horizontal="left"/>
    </xf>
    <xf numFmtId="0" fontId="6" fillId="0" borderId="1" xfId="0" applyFont="1" applyBorder="1"/>
    <xf numFmtId="165" fontId="0" fillId="0" borderId="0" xfId="0" applyNumberFormat="1"/>
    <xf numFmtId="44" fontId="0" fillId="0" borderId="0" xfId="2" applyFont="1"/>
    <xf numFmtId="164" fontId="0" fillId="0" borderId="0" xfId="0" applyNumberFormat="1"/>
    <xf numFmtId="0" fontId="1" fillId="18" borderId="1" xfId="0" applyFont="1" applyFill="1" applyBorder="1" applyAlignment="1">
      <alignment horizontal="center"/>
    </xf>
    <xf numFmtId="44" fontId="0" fillId="0" borderId="1" xfId="2" applyFont="1" applyBorder="1" applyAlignment="1">
      <alignment horizontal="left" indent="5"/>
    </xf>
    <xf numFmtId="44" fontId="0" fillId="0" borderId="1" xfId="2" applyFont="1" applyBorder="1" applyAlignment="1">
      <alignment horizontal="left" indent="6"/>
    </xf>
    <xf numFmtId="164" fontId="0" fillId="0" borderId="1" xfId="0" applyNumberFormat="1" applyBorder="1" applyAlignment="1">
      <alignment horizontal="right"/>
    </xf>
    <xf numFmtId="164" fontId="0" fillId="0" borderId="1" xfId="2" applyNumberFormat="1" applyFont="1" applyBorder="1"/>
    <xf numFmtId="164" fontId="0" fillId="0" borderId="1" xfId="2" applyNumberFormat="1" applyFont="1" applyBorder="1" applyAlignment="1">
      <alignment horizontal="left" indent="7"/>
    </xf>
    <xf numFmtId="164" fontId="0" fillId="0" borderId="1" xfId="0" applyNumberFormat="1" applyBorder="1" applyAlignment="1">
      <alignment horizontal="left" indent="7"/>
    </xf>
    <xf numFmtId="0" fontId="0" fillId="8" borderId="0" xfId="0" applyFill="1" applyAlignment="1">
      <alignment horizontal="center"/>
    </xf>
    <xf numFmtId="0" fontId="0" fillId="0" borderId="1" xfId="0" applyBorder="1" applyAlignment="1">
      <alignment horizontal="right"/>
    </xf>
    <xf numFmtId="0" fontId="0" fillId="19" borderId="1" xfId="0" applyFill="1" applyBorder="1"/>
    <xf numFmtId="0" fontId="0" fillId="8" borderId="1" xfId="0" applyFill="1" applyBorder="1"/>
    <xf numFmtId="0" fontId="0" fillId="8" borderId="0" xfId="0" applyFill="1"/>
    <xf numFmtId="166" fontId="0" fillId="0" borderId="1" xfId="0" applyNumberFormat="1" applyBorder="1"/>
    <xf numFmtId="0" fontId="0" fillId="12" borderId="1" xfId="0" applyFill="1" applyBorder="1"/>
    <xf numFmtId="0" fontId="8" fillId="0" borderId="1" xfId="0" applyFont="1" applyBorder="1"/>
    <xf numFmtId="167" fontId="8" fillId="0" borderId="1" xfId="0" applyNumberFormat="1" applyFont="1" applyBorder="1" applyAlignment="1">
      <alignment horizontal="left"/>
    </xf>
    <xf numFmtId="0" fontId="8" fillId="0" borderId="1" xfId="0" applyFont="1" applyBorder="1" applyAlignment="1">
      <alignment horizontal="left"/>
    </xf>
    <xf numFmtId="168" fontId="8" fillId="0" borderId="1" xfId="0" applyNumberFormat="1" applyFont="1" applyBorder="1" applyAlignment="1">
      <alignment horizontal="left"/>
    </xf>
    <xf numFmtId="0" fontId="0" fillId="0" borderId="1" xfId="0" pivotButton="1" applyBorder="1"/>
    <xf numFmtId="167" fontId="0" fillId="0" borderId="1" xfId="0" applyNumberFormat="1" applyBorder="1" applyAlignment="1">
      <alignment horizontal="left"/>
    </xf>
    <xf numFmtId="168" fontId="0" fillId="0" borderId="1" xfId="0" applyNumberFormat="1" applyBorder="1"/>
    <xf numFmtId="0" fontId="0" fillId="0" borderId="1" xfId="0" applyBorder="1" applyAlignment="1">
      <alignment horizontal="left" indent="1"/>
    </xf>
    <xf numFmtId="0" fontId="1" fillId="22" borderId="1" xfId="0" applyFont="1" applyFill="1" applyBorder="1" applyAlignment="1">
      <alignment horizontal="center"/>
    </xf>
    <xf numFmtId="0" fontId="0" fillId="0" borderId="0" xfId="0" pivotButton="1"/>
    <xf numFmtId="0" fontId="0" fillId="0" borderId="0" xfId="0" applyAlignment="1">
      <alignment horizontal="left"/>
    </xf>
    <xf numFmtId="168" fontId="0" fillId="0" borderId="0" xfId="0" applyNumberFormat="1"/>
    <xf numFmtId="165" fontId="0" fillId="0" borderId="1" xfId="0" applyNumberFormat="1" applyBorder="1"/>
    <xf numFmtId="44" fontId="0" fillId="0" borderId="1" xfId="2" applyFont="1" applyBorder="1"/>
    <xf numFmtId="0" fontId="1" fillId="23" borderId="1" xfId="0" applyFont="1" applyFill="1" applyBorder="1" applyAlignment="1">
      <alignment horizontal="center"/>
    </xf>
    <xf numFmtId="0" fontId="1" fillId="12" borderId="1" xfId="0" applyFont="1" applyFill="1" applyBorder="1"/>
    <xf numFmtId="0" fontId="0" fillId="21" borderId="1" xfId="0" applyFill="1" applyBorder="1"/>
    <xf numFmtId="0" fontId="1" fillId="10" borderId="1" xfId="0" applyFont="1" applyFill="1" applyBorder="1" applyAlignment="1">
      <alignment horizontal="center"/>
    </xf>
    <xf numFmtId="0" fontId="10" fillId="0" borderId="0" xfId="0" applyFont="1"/>
    <xf numFmtId="0" fontId="10" fillId="25" borderId="5" xfId="0" applyFont="1" applyFill="1" applyBorder="1"/>
    <xf numFmtId="0" fontId="13" fillId="25" borderId="5" xfId="0" applyFont="1" applyFill="1" applyBorder="1"/>
    <xf numFmtId="9" fontId="10" fillId="25" borderId="5" xfId="0" applyNumberFormat="1" applyFont="1" applyFill="1" applyBorder="1"/>
    <xf numFmtId="0" fontId="10" fillId="26" borderId="5" xfId="0" applyFont="1" applyFill="1" applyBorder="1"/>
    <xf numFmtId="9" fontId="10" fillId="26" borderId="5" xfId="0" applyNumberFormat="1" applyFont="1" applyFill="1" applyBorder="1"/>
    <xf numFmtId="0" fontId="12" fillId="27" borderId="5" xfId="0" applyFont="1" applyFill="1" applyBorder="1"/>
    <xf numFmtId="0" fontId="12" fillId="27" borderId="9" xfId="0" applyFont="1" applyFill="1" applyBorder="1"/>
    <xf numFmtId="0" fontId="10" fillId="9" borderId="5" xfId="0" applyFont="1" applyFill="1" applyBorder="1"/>
    <xf numFmtId="0" fontId="15" fillId="0" borderId="0" xfId="0" applyFont="1"/>
    <xf numFmtId="0" fontId="16" fillId="29" borderId="10" xfId="0" applyFont="1" applyFill="1" applyBorder="1"/>
    <xf numFmtId="0" fontId="15" fillId="0" borderId="10" xfId="0" applyFont="1" applyBorder="1"/>
    <xf numFmtId="0" fontId="15" fillId="25" borderId="10" xfId="0" applyFont="1" applyFill="1" applyBorder="1"/>
    <xf numFmtId="0" fontId="15" fillId="0" borderId="10" xfId="0" applyFont="1" applyBorder="1" applyAlignment="1">
      <alignment horizontal="left"/>
    </xf>
    <xf numFmtId="0" fontId="12" fillId="31" borderId="10" xfId="0" applyFont="1" applyFill="1" applyBorder="1"/>
    <xf numFmtId="0" fontId="10" fillId="0" borderId="10" xfId="0" applyFont="1" applyBorder="1"/>
    <xf numFmtId="0" fontId="10" fillId="25" borderId="10" xfId="0" applyFont="1" applyFill="1" applyBorder="1"/>
    <xf numFmtId="0" fontId="10" fillId="25" borderId="10" xfId="0" applyFont="1" applyFill="1" applyBorder="1" applyAlignment="1">
      <alignment horizontal="left"/>
    </xf>
    <xf numFmtId="0" fontId="10" fillId="0" borderId="10" xfId="0" applyFont="1" applyBorder="1" applyAlignment="1">
      <alignment horizontal="left"/>
    </xf>
    <xf numFmtId="0" fontId="13" fillId="0" borderId="0" xfId="0" applyFont="1"/>
    <xf numFmtId="0" fontId="13" fillId="0" borderId="10" xfId="0" applyFont="1" applyBorder="1"/>
    <xf numFmtId="0" fontId="13" fillId="25" borderId="10" xfId="0" applyFont="1" applyFill="1" applyBorder="1"/>
    <xf numFmtId="0" fontId="13" fillId="25" borderId="10" xfId="0" applyFont="1" applyFill="1" applyBorder="1" applyAlignment="1">
      <alignment horizontal="left"/>
    </xf>
    <xf numFmtId="0" fontId="13" fillId="0" borderId="10" xfId="0" applyFont="1" applyBorder="1" applyAlignment="1">
      <alignment horizontal="left"/>
    </xf>
    <xf numFmtId="0" fontId="13" fillId="25" borderId="0" xfId="0" applyFont="1" applyFill="1"/>
    <xf numFmtId="0" fontId="12" fillId="29" borderId="10" xfId="0" applyFont="1" applyFill="1" applyBorder="1"/>
    <xf numFmtId="0" fontId="12" fillId="33" borderId="10" xfId="0" applyFont="1" applyFill="1" applyBorder="1"/>
    <xf numFmtId="14" fontId="10" fillId="0" borderId="10" xfId="0" applyNumberFormat="1" applyFont="1" applyBorder="1" applyAlignment="1">
      <alignment horizontal="left"/>
    </xf>
    <xf numFmtId="0" fontId="12" fillId="34" borderId="10" xfId="0" applyFont="1" applyFill="1" applyBorder="1"/>
    <xf numFmtId="164" fontId="10" fillId="0" borderId="10" xfId="0" applyNumberFormat="1" applyFont="1" applyBorder="1" applyAlignment="1">
      <alignment horizontal="left"/>
    </xf>
    <xf numFmtId="164" fontId="10" fillId="0" borderId="0" xfId="0" applyNumberFormat="1" applyFont="1"/>
    <xf numFmtId="0" fontId="10" fillId="0" borderId="0" xfId="0" applyFont="1" applyAlignment="1">
      <alignment horizontal="left"/>
    </xf>
    <xf numFmtId="0" fontId="1" fillId="35" borderId="1" xfId="0" applyFont="1" applyFill="1" applyBorder="1" applyAlignment="1">
      <alignment horizontal="center"/>
    </xf>
    <xf numFmtId="0" fontId="1" fillId="3" borderId="1" xfId="0" applyFont="1" applyFill="1" applyBorder="1" applyAlignment="1">
      <alignment horizontal="center"/>
    </xf>
    <xf numFmtId="0" fontId="1" fillId="36" borderId="3" xfId="0" applyFont="1" applyFill="1" applyBorder="1" applyAlignment="1">
      <alignment horizontal="center"/>
    </xf>
    <xf numFmtId="0" fontId="1" fillId="36" borderId="1" xfId="0" applyFont="1" applyFill="1" applyBorder="1" applyAlignment="1">
      <alignment horizontal="center"/>
    </xf>
    <xf numFmtId="0" fontId="1" fillId="36" borderId="4" xfId="0" applyFont="1" applyFill="1" applyBorder="1" applyAlignment="1">
      <alignment horizontal="center"/>
    </xf>
    <xf numFmtId="0" fontId="1" fillId="8" borderId="1" xfId="0" applyFont="1" applyFill="1" applyBorder="1" applyAlignment="1">
      <alignment horizontal="center"/>
    </xf>
    <xf numFmtId="0" fontId="1" fillId="6" borderId="1" xfId="0" applyFont="1" applyFill="1" applyBorder="1" applyAlignment="1">
      <alignment horizontal="center"/>
    </xf>
    <xf numFmtId="0" fontId="0" fillId="6" borderId="1" xfId="0" applyFill="1" applyBorder="1" applyAlignment="1">
      <alignment horizontal="center"/>
    </xf>
    <xf numFmtId="0" fontId="0" fillId="2" borderId="2" xfId="0" applyFill="1" applyBorder="1" applyAlignment="1">
      <alignment horizontal="center"/>
    </xf>
    <xf numFmtId="0" fontId="3" fillId="2" borderId="0" xfId="0" applyFont="1" applyFill="1" applyAlignment="1">
      <alignment horizontal="center"/>
    </xf>
    <xf numFmtId="0" fontId="4" fillId="2" borderId="0" xfId="0" applyFont="1" applyFill="1" applyAlignment="1">
      <alignment horizontal="center"/>
    </xf>
    <xf numFmtId="0" fontId="3" fillId="2" borderId="1" xfId="0" applyFont="1" applyFill="1" applyBorder="1" applyAlignment="1">
      <alignment horizontal="center"/>
    </xf>
    <xf numFmtId="0" fontId="4" fillId="2" borderId="1" xfId="0" applyFont="1" applyFill="1" applyBorder="1" applyAlignment="1">
      <alignment horizontal="center"/>
    </xf>
    <xf numFmtId="0" fontId="10" fillId="8" borderId="6" xfId="0" applyFont="1" applyFill="1" applyBorder="1" applyAlignment="1">
      <alignment horizontal="center"/>
    </xf>
    <xf numFmtId="0" fontId="10" fillId="8" borderId="8" xfId="0" applyFont="1" applyFill="1" applyBorder="1" applyAlignment="1">
      <alignment horizontal="center"/>
    </xf>
    <xf numFmtId="0" fontId="10" fillId="8" borderId="7" xfId="0" applyFont="1" applyFill="1" applyBorder="1" applyAlignment="1">
      <alignment horizontal="center"/>
    </xf>
    <xf numFmtId="0" fontId="11" fillId="6" borderId="6" xfId="0" applyFont="1" applyFill="1" applyBorder="1" applyAlignment="1">
      <alignment horizontal="center" vertical="center"/>
    </xf>
    <xf numFmtId="0" fontId="11" fillId="6" borderId="8" xfId="0" applyFont="1" applyFill="1" applyBorder="1" applyAlignment="1">
      <alignment horizontal="center" vertical="center"/>
    </xf>
    <xf numFmtId="0" fontId="11" fillId="6" borderId="7" xfId="0" applyFont="1" applyFill="1" applyBorder="1" applyAlignment="1">
      <alignment horizontal="center" vertical="center"/>
    </xf>
    <xf numFmtId="0" fontId="1" fillId="15" borderId="0" xfId="0" applyFont="1" applyFill="1" applyAlignment="1">
      <alignment horizontal="center"/>
    </xf>
    <xf numFmtId="0" fontId="0" fillId="15" borderId="0" xfId="0" applyFill="1" applyAlignment="1">
      <alignment horizontal="center"/>
    </xf>
    <xf numFmtId="0" fontId="1" fillId="5" borderId="0" xfId="0" applyFont="1" applyFill="1" applyAlignment="1">
      <alignment horizontal="center"/>
    </xf>
    <xf numFmtId="0" fontId="0" fillId="5" borderId="0" xfId="0" applyFill="1" applyAlignment="1">
      <alignment horizontal="center"/>
    </xf>
    <xf numFmtId="0" fontId="1" fillId="3" borderId="0" xfId="0" applyFont="1" applyFill="1" applyAlignment="1">
      <alignment horizontal="center"/>
    </xf>
    <xf numFmtId="0" fontId="0" fillId="3" borderId="0" xfId="0" applyFill="1" applyAlignment="1">
      <alignment horizontal="center"/>
    </xf>
    <xf numFmtId="0" fontId="1" fillId="4" borderId="2" xfId="0" applyFont="1" applyFill="1" applyBorder="1" applyAlignment="1">
      <alignment horizontal="center"/>
    </xf>
    <xf numFmtId="0" fontId="1" fillId="2" borderId="0" xfId="0" applyFont="1" applyFill="1" applyAlignment="1">
      <alignment horizontal="center"/>
    </xf>
    <xf numFmtId="0" fontId="1" fillId="12" borderId="0" xfId="0" applyFont="1" applyFill="1" applyAlignment="1">
      <alignment horizontal="center"/>
    </xf>
    <xf numFmtId="0" fontId="0" fillId="12" borderId="0" xfId="0" applyFill="1" applyAlignment="1">
      <alignment horizontal="center"/>
    </xf>
    <xf numFmtId="0" fontId="1" fillId="8" borderId="0" xfId="0" applyFont="1" applyFill="1" applyAlignment="1">
      <alignment horizontal="center"/>
    </xf>
    <xf numFmtId="0" fontId="0" fillId="8" borderId="0" xfId="0" applyFill="1" applyAlignment="1">
      <alignment horizontal="center"/>
    </xf>
    <xf numFmtId="0" fontId="0" fillId="9" borderId="1" xfId="0" applyFill="1" applyBorder="1" applyAlignment="1">
      <alignment horizontal="center"/>
    </xf>
    <xf numFmtId="0" fontId="0" fillId="10" borderId="1" xfId="0" applyFill="1" applyBorder="1" applyAlignment="1">
      <alignment horizontal="center"/>
    </xf>
    <xf numFmtId="0" fontId="0" fillId="0" borderId="1" xfId="0" applyBorder="1" applyAlignment="1">
      <alignment horizontal="center"/>
    </xf>
    <xf numFmtId="0" fontId="1" fillId="0" borderId="0" xfId="0" applyFont="1" applyAlignment="1">
      <alignment horizontal="center"/>
    </xf>
    <xf numFmtId="0" fontId="1" fillId="2" borderId="1" xfId="0" applyFont="1" applyFill="1" applyBorder="1" applyAlignment="1">
      <alignment horizontal="center"/>
    </xf>
    <xf numFmtId="0" fontId="0" fillId="2" borderId="1" xfId="0" applyFill="1" applyBorder="1" applyAlignment="1">
      <alignment horizontal="center"/>
    </xf>
    <xf numFmtId="0" fontId="1" fillId="9" borderId="1" xfId="0" applyFont="1" applyFill="1" applyBorder="1" applyAlignment="1">
      <alignment horizontal="center"/>
    </xf>
    <xf numFmtId="0" fontId="1" fillId="13" borderId="0" xfId="0" applyFont="1" applyFill="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1" fillId="17" borderId="0" xfId="0" applyFont="1" applyFill="1" applyAlignment="1">
      <alignment horizontal="center"/>
    </xf>
    <xf numFmtId="0" fontId="1" fillId="20" borderId="0" xfId="0" applyFont="1" applyFill="1" applyAlignment="1">
      <alignment horizontal="center"/>
    </xf>
    <xf numFmtId="0" fontId="0" fillId="20" borderId="0" xfId="0" applyFill="1" applyAlignment="1">
      <alignment horizontal="center"/>
    </xf>
    <xf numFmtId="0" fontId="0" fillId="0" borderId="1" xfId="0" applyBorder="1" applyAlignment="1">
      <alignment horizontal="left"/>
    </xf>
    <xf numFmtId="44" fontId="0" fillId="0" borderId="1" xfId="2" applyFont="1" applyBorder="1" applyAlignment="1">
      <alignment horizontal="left" indent="10"/>
    </xf>
    <xf numFmtId="0" fontId="1" fillId="24" borderId="0" xfId="0" applyFont="1" applyFill="1" applyAlignment="1">
      <alignment horizontal="center"/>
    </xf>
    <xf numFmtId="0" fontId="1" fillId="17" borderId="3" xfId="0" applyFont="1" applyFill="1" applyBorder="1" applyAlignment="1">
      <alignment horizontal="center"/>
    </xf>
    <xf numFmtId="0" fontId="1" fillId="17" borderId="4" xfId="0" applyFont="1" applyFill="1" applyBorder="1" applyAlignment="1">
      <alignment horizontal="center"/>
    </xf>
    <xf numFmtId="0" fontId="0" fillId="9" borderId="0" xfId="0" applyFill="1" applyAlignment="1">
      <alignment horizontal="center"/>
    </xf>
    <xf numFmtId="0" fontId="1" fillId="4" borderId="0" xfId="0" applyFont="1" applyFill="1" applyAlignment="1">
      <alignment horizontal="center"/>
    </xf>
    <xf numFmtId="0" fontId="1" fillId="21" borderId="0" xfId="0" applyFont="1" applyFill="1" applyAlignment="1">
      <alignment horizontal="center"/>
    </xf>
    <xf numFmtId="0" fontId="14" fillId="28" borderId="0" xfId="0" applyFont="1" applyFill="1" applyAlignment="1">
      <alignment horizontal="center"/>
    </xf>
    <xf numFmtId="0" fontId="16" fillId="29" borderId="11" xfId="0" applyFont="1" applyFill="1" applyBorder="1" applyAlignment="1">
      <alignment horizontal="center"/>
    </xf>
    <xf numFmtId="0" fontId="16" fillId="29" borderId="12" xfId="0" applyFont="1" applyFill="1" applyBorder="1" applyAlignment="1">
      <alignment horizontal="center"/>
    </xf>
    <xf numFmtId="0" fontId="12" fillId="30" borderId="0" xfId="0" applyFont="1" applyFill="1" applyAlignment="1">
      <alignment horizontal="center"/>
    </xf>
    <xf numFmtId="0" fontId="11" fillId="32" borderId="0" xfId="0" applyFont="1" applyFill="1" applyAlignment="1">
      <alignment horizontal="center"/>
    </xf>
    <xf numFmtId="0" fontId="18" fillId="30" borderId="0" xfId="0" applyFont="1" applyFill="1" applyAlignment="1">
      <alignment horizontal="center"/>
    </xf>
    <xf numFmtId="0" fontId="18" fillId="30" borderId="12" xfId="0" applyFont="1" applyFill="1" applyBorder="1" applyAlignment="1">
      <alignment horizontal="center"/>
    </xf>
    <xf numFmtId="0" fontId="11" fillId="30" borderId="0" xfId="0" applyFont="1" applyFill="1" applyAlignment="1">
      <alignment horizontal="center"/>
    </xf>
    <xf numFmtId="0" fontId="17" fillId="28" borderId="12" xfId="0" applyFont="1" applyFill="1" applyBorder="1" applyAlignment="1">
      <alignment horizontal="center"/>
    </xf>
    <xf numFmtId="0" fontId="12" fillId="34" borderId="13" xfId="0" applyFont="1" applyFill="1" applyBorder="1" applyAlignment="1">
      <alignment horizontal="center"/>
    </xf>
    <xf numFmtId="0" fontId="12" fillId="34" borderId="15" xfId="0" applyFont="1" applyFill="1" applyBorder="1" applyAlignment="1">
      <alignment horizontal="center"/>
    </xf>
    <xf numFmtId="0" fontId="12" fillId="34" borderId="14" xfId="0" applyFont="1" applyFill="1" applyBorder="1" applyAlignment="1">
      <alignment horizontal="center"/>
    </xf>
    <xf numFmtId="0" fontId="13" fillId="0" borderId="13" xfId="0" applyFont="1" applyBorder="1" applyAlignment="1">
      <alignment horizontal="left"/>
    </xf>
    <xf numFmtId="0" fontId="13" fillId="0" borderId="14" xfId="0" applyFont="1" applyBorder="1" applyAlignment="1">
      <alignment horizontal="left"/>
    </xf>
    <xf numFmtId="0" fontId="10" fillId="0" borderId="13" xfId="0" applyFont="1" applyBorder="1" applyAlignment="1">
      <alignment horizontal="left"/>
    </xf>
    <xf numFmtId="0" fontId="10" fillId="0" borderId="14" xfId="0" applyFont="1" applyBorder="1" applyAlignment="1">
      <alignment horizontal="left"/>
    </xf>
    <xf numFmtId="0" fontId="17" fillId="28" borderId="0" xfId="0" applyFont="1" applyFill="1" applyAlignment="1">
      <alignment horizontal="center"/>
    </xf>
    <xf numFmtId="0" fontId="1" fillId="3" borderId="2" xfId="0" applyFont="1" applyFill="1" applyBorder="1" applyAlignment="1">
      <alignment horizontal="center"/>
    </xf>
    <xf numFmtId="0" fontId="0" fillId="17" borderId="0" xfId="0" applyFill="1" applyAlignment="1">
      <alignment horizontal="center"/>
    </xf>
    <xf numFmtId="0" fontId="0" fillId="19" borderId="0" xfId="0" applyFill="1" applyAlignment="1">
      <alignment horizontal="center"/>
    </xf>
    <xf numFmtId="0" fontId="9" fillId="5" borderId="0" xfId="0" applyFont="1" applyFill="1" applyAlignment="1">
      <alignment horizontal="center"/>
    </xf>
  </cellXfs>
  <cellStyles count="3">
    <cellStyle name="Currency" xfId="2" builtinId="4"/>
    <cellStyle name="Normal" xfId="0" builtinId="0"/>
    <cellStyle name="Percent" xfId="1" builtinId="5"/>
  </cellStyles>
  <dxfs count="2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[SILVIYA ANGEL EXCEL.xlsx]PIVOT TABLE &amp; CHART!PivotTable1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643179217982365E-2"/>
          <c:y val="9.2327030893536235E-2"/>
          <c:w val="0.66250517830570321"/>
          <c:h val="0.62365008031672253"/>
        </c:manualLayout>
      </c:layout>
      <c:barChart>
        <c:barDir val="col"/>
        <c:grouping val="clustered"/>
        <c:varyColors val="0"/>
        <c:ser>
          <c:idx val="0"/>
          <c:order val="0"/>
          <c:tx>
            <c:strRef>
              <c:f>'PIVOT TABLE &amp; CHART'!$B$3</c:f>
              <c:strCache>
                <c:ptCount val="1"/>
                <c:pt idx="0">
                  <c:v>Sum of UNIT PRICE</c:v>
                </c:pt>
              </c:strCache>
            </c:strRef>
          </c:tx>
          <c:spPr>
            <a:solidFill>
              <a:schemeClr val="accent1"/>
            </a:solidFill>
            <a:ln>
              <a:noFill/>
            </a:ln>
            <a:effectLst/>
          </c:spPr>
          <c:invertIfNegative val="0"/>
          <c:cat>
            <c:multiLvlStrRef>
              <c:f>'PIVOT TABLE &amp; CHART'!$A$4:$A$34</c:f>
              <c:multiLvlStrCache>
                <c:ptCount val="15"/>
                <c:lvl>
                  <c:pt idx="0">
                    <c:v>Asha</c:v>
                  </c:pt>
                  <c:pt idx="1">
                    <c:v>Ravi</c:v>
                  </c:pt>
                  <c:pt idx="2">
                    <c:v>Priya</c:v>
                  </c:pt>
                  <c:pt idx="3">
                    <c:v>Kiran</c:v>
                  </c:pt>
                  <c:pt idx="4">
                    <c:v>Meena</c:v>
                  </c:pt>
                  <c:pt idx="5">
                    <c:v>Asha</c:v>
                  </c:pt>
                  <c:pt idx="6">
                    <c:v>Ravi</c:v>
                  </c:pt>
                  <c:pt idx="7">
                    <c:v>Priya</c:v>
                  </c:pt>
                  <c:pt idx="8">
                    <c:v>Kiran</c:v>
                  </c:pt>
                  <c:pt idx="9">
                    <c:v>Meena</c:v>
                  </c:pt>
                  <c:pt idx="10">
                    <c:v>Asha</c:v>
                  </c:pt>
                  <c:pt idx="11">
                    <c:v>Ravi</c:v>
                  </c:pt>
                  <c:pt idx="12">
                    <c:v>Priya</c:v>
                  </c:pt>
                  <c:pt idx="13">
                    <c:v>Kiran</c:v>
                  </c:pt>
                  <c:pt idx="14">
                    <c:v>Meena</c:v>
                  </c:pt>
                </c:lvl>
                <c:lvl>
                  <c:pt idx="0">
                    <c:v>05-Jan-2026</c:v>
                  </c:pt>
                  <c:pt idx="1">
                    <c:v>08-Jan-2026</c:v>
                  </c:pt>
                  <c:pt idx="2">
                    <c:v>12-Jan-2026</c:v>
                  </c:pt>
                  <c:pt idx="3">
                    <c:v>15-Jan-2026</c:v>
                  </c:pt>
                  <c:pt idx="4">
                    <c:v>20-Jan-2026</c:v>
                  </c:pt>
                  <c:pt idx="5">
                    <c:v>03-Feb-2026</c:v>
                  </c:pt>
                  <c:pt idx="6">
                    <c:v>07-Feb-2026</c:v>
                  </c:pt>
                  <c:pt idx="7">
                    <c:v>11-Feb-2026</c:v>
                  </c:pt>
                  <c:pt idx="8">
                    <c:v>18-Feb-2026</c:v>
                  </c:pt>
                  <c:pt idx="9">
                    <c:v>24-Feb-2026</c:v>
                  </c:pt>
                  <c:pt idx="10">
                    <c:v>04-Mar-2026</c:v>
                  </c:pt>
                  <c:pt idx="11">
                    <c:v>09-Mar-2026</c:v>
                  </c:pt>
                  <c:pt idx="12">
                    <c:v>13-Mar-2026</c:v>
                  </c:pt>
                  <c:pt idx="13">
                    <c:v>17-Mar-2026</c:v>
                  </c:pt>
                  <c:pt idx="14">
                    <c:v>22-Mar-2026</c:v>
                  </c:pt>
                </c:lvl>
              </c:multiLvlStrCache>
            </c:multiLvlStrRef>
          </c:cat>
          <c:val>
            <c:numRef>
              <c:f>'PIVOT TABLE &amp; CHART'!$B$4:$B$34</c:f>
              <c:numCache>
                <c:formatCode>"₹"#,##0</c:formatCode>
                <c:ptCount val="15"/>
                <c:pt idx="0">
                  <c:v>45000</c:v>
                </c:pt>
                <c:pt idx="1">
                  <c:v>12000</c:v>
                </c:pt>
                <c:pt idx="2">
                  <c:v>1500</c:v>
                </c:pt>
                <c:pt idx="3">
                  <c:v>45000</c:v>
                </c:pt>
                <c:pt idx="4">
                  <c:v>800</c:v>
                </c:pt>
                <c:pt idx="5">
                  <c:v>12000</c:v>
                </c:pt>
                <c:pt idx="6">
                  <c:v>45000</c:v>
                </c:pt>
                <c:pt idx="7">
                  <c:v>800</c:v>
                </c:pt>
                <c:pt idx="8">
                  <c:v>1500</c:v>
                </c:pt>
                <c:pt idx="9">
                  <c:v>12000</c:v>
                </c:pt>
                <c:pt idx="10">
                  <c:v>45000</c:v>
                </c:pt>
                <c:pt idx="11">
                  <c:v>800</c:v>
                </c:pt>
                <c:pt idx="12">
                  <c:v>12000</c:v>
                </c:pt>
                <c:pt idx="13">
                  <c:v>45000</c:v>
                </c:pt>
                <c:pt idx="14">
                  <c:v>1500</c:v>
                </c:pt>
              </c:numCache>
            </c:numRef>
          </c:val>
          <c:extLst>
            <c:ext xmlns:c16="http://schemas.microsoft.com/office/drawing/2014/chart" uri="{C3380CC4-5D6E-409C-BE32-E72D297353CC}">
              <c16:uniqueId val="{00000000-5A9E-48B9-9847-7E46A41B8786}"/>
            </c:ext>
          </c:extLst>
        </c:ser>
        <c:ser>
          <c:idx val="1"/>
          <c:order val="1"/>
          <c:tx>
            <c:strRef>
              <c:f>'PIVOT TABLE &amp; CHART'!$C$3</c:f>
              <c:strCache>
                <c:ptCount val="1"/>
                <c:pt idx="0">
                  <c:v>Sum of SALES AMOUNT</c:v>
                </c:pt>
              </c:strCache>
            </c:strRef>
          </c:tx>
          <c:spPr>
            <a:solidFill>
              <a:schemeClr val="accent2"/>
            </a:solidFill>
            <a:ln>
              <a:noFill/>
            </a:ln>
            <a:effectLst/>
          </c:spPr>
          <c:invertIfNegative val="0"/>
          <c:cat>
            <c:multiLvlStrRef>
              <c:f>'PIVOT TABLE &amp; CHART'!$A$4:$A$34</c:f>
              <c:multiLvlStrCache>
                <c:ptCount val="15"/>
                <c:lvl>
                  <c:pt idx="0">
                    <c:v>Asha</c:v>
                  </c:pt>
                  <c:pt idx="1">
                    <c:v>Ravi</c:v>
                  </c:pt>
                  <c:pt idx="2">
                    <c:v>Priya</c:v>
                  </c:pt>
                  <c:pt idx="3">
                    <c:v>Kiran</c:v>
                  </c:pt>
                  <c:pt idx="4">
                    <c:v>Meena</c:v>
                  </c:pt>
                  <c:pt idx="5">
                    <c:v>Asha</c:v>
                  </c:pt>
                  <c:pt idx="6">
                    <c:v>Ravi</c:v>
                  </c:pt>
                  <c:pt idx="7">
                    <c:v>Priya</c:v>
                  </c:pt>
                  <c:pt idx="8">
                    <c:v>Kiran</c:v>
                  </c:pt>
                  <c:pt idx="9">
                    <c:v>Meena</c:v>
                  </c:pt>
                  <c:pt idx="10">
                    <c:v>Asha</c:v>
                  </c:pt>
                  <c:pt idx="11">
                    <c:v>Ravi</c:v>
                  </c:pt>
                  <c:pt idx="12">
                    <c:v>Priya</c:v>
                  </c:pt>
                  <c:pt idx="13">
                    <c:v>Kiran</c:v>
                  </c:pt>
                  <c:pt idx="14">
                    <c:v>Meena</c:v>
                  </c:pt>
                </c:lvl>
                <c:lvl>
                  <c:pt idx="0">
                    <c:v>05-Jan-2026</c:v>
                  </c:pt>
                  <c:pt idx="1">
                    <c:v>08-Jan-2026</c:v>
                  </c:pt>
                  <c:pt idx="2">
                    <c:v>12-Jan-2026</c:v>
                  </c:pt>
                  <c:pt idx="3">
                    <c:v>15-Jan-2026</c:v>
                  </c:pt>
                  <c:pt idx="4">
                    <c:v>20-Jan-2026</c:v>
                  </c:pt>
                  <c:pt idx="5">
                    <c:v>03-Feb-2026</c:v>
                  </c:pt>
                  <c:pt idx="6">
                    <c:v>07-Feb-2026</c:v>
                  </c:pt>
                  <c:pt idx="7">
                    <c:v>11-Feb-2026</c:v>
                  </c:pt>
                  <c:pt idx="8">
                    <c:v>18-Feb-2026</c:v>
                  </c:pt>
                  <c:pt idx="9">
                    <c:v>24-Feb-2026</c:v>
                  </c:pt>
                  <c:pt idx="10">
                    <c:v>04-Mar-2026</c:v>
                  </c:pt>
                  <c:pt idx="11">
                    <c:v>09-Mar-2026</c:v>
                  </c:pt>
                  <c:pt idx="12">
                    <c:v>13-Mar-2026</c:v>
                  </c:pt>
                  <c:pt idx="13">
                    <c:v>17-Mar-2026</c:v>
                  </c:pt>
                  <c:pt idx="14">
                    <c:v>22-Mar-2026</c:v>
                  </c:pt>
                </c:lvl>
              </c:multiLvlStrCache>
            </c:multiLvlStrRef>
          </c:cat>
          <c:val>
            <c:numRef>
              <c:f>'PIVOT TABLE &amp; CHART'!$C$4:$C$34</c:f>
              <c:numCache>
                <c:formatCode>"₹"#,##0</c:formatCode>
                <c:ptCount val="15"/>
                <c:pt idx="0">
                  <c:v>135000</c:v>
                </c:pt>
                <c:pt idx="1">
                  <c:v>60000</c:v>
                </c:pt>
                <c:pt idx="2">
                  <c:v>15000</c:v>
                </c:pt>
                <c:pt idx="3">
                  <c:v>90000</c:v>
                </c:pt>
                <c:pt idx="4">
                  <c:v>12000</c:v>
                </c:pt>
                <c:pt idx="5">
                  <c:v>48000</c:v>
                </c:pt>
                <c:pt idx="6">
                  <c:v>90000</c:v>
                </c:pt>
                <c:pt idx="7">
                  <c:v>16000</c:v>
                </c:pt>
                <c:pt idx="8">
                  <c:v>18000</c:v>
                </c:pt>
                <c:pt idx="9">
                  <c:v>72000</c:v>
                </c:pt>
                <c:pt idx="10">
                  <c:v>45000</c:v>
                </c:pt>
                <c:pt idx="11">
                  <c:v>20000</c:v>
                </c:pt>
                <c:pt idx="12">
                  <c:v>36000</c:v>
                </c:pt>
                <c:pt idx="13">
                  <c:v>135000</c:v>
                </c:pt>
                <c:pt idx="14">
                  <c:v>22500</c:v>
                </c:pt>
              </c:numCache>
            </c:numRef>
          </c:val>
          <c:extLst>
            <c:ext xmlns:c16="http://schemas.microsoft.com/office/drawing/2014/chart" uri="{C3380CC4-5D6E-409C-BE32-E72D297353CC}">
              <c16:uniqueId val="{00000001-5A9E-48B9-9847-7E46A41B8786}"/>
            </c:ext>
          </c:extLst>
        </c:ser>
        <c:ser>
          <c:idx val="2"/>
          <c:order val="2"/>
          <c:tx>
            <c:strRef>
              <c:f>'PIVOT TABLE &amp; CHART'!$D$3</c:f>
              <c:strCache>
                <c:ptCount val="1"/>
                <c:pt idx="0">
                  <c:v>Sum of QUANTITY</c:v>
                </c:pt>
              </c:strCache>
            </c:strRef>
          </c:tx>
          <c:spPr>
            <a:solidFill>
              <a:schemeClr val="accent3"/>
            </a:solidFill>
            <a:ln>
              <a:noFill/>
            </a:ln>
            <a:effectLst/>
          </c:spPr>
          <c:invertIfNegative val="0"/>
          <c:cat>
            <c:multiLvlStrRef>
              <c:f>'PIVOT TABLE &amp; CHART'!$A$4:$A$34</c:f>
              <c:multiLvlStrCache>
                <c:ptCount val="15"/>
                <c:lvl>
                  <c:pt idx="0">
                    <c:v>Asha</c:v>
                  </c:pt>
                  <c:pt idx="1">
                    <c:v>Ravi</c:v>
                  </c:pt>
                  <c:pt idx="2">
                    <c:v>Priya</c:v>
                  </c:pt>
                  <c:pt idx="3">
                    <c:v>Kiran</c:v>
                  </c:pt>
                  <c:pt idx="4">
                    <c:v>Meena</c:v>
                  </c:pt>
                  <c:pt idx="5">
                    <c:v>Asha</c:v>
                  </c:pt>
                  <c:pt idx="6">
                    <c:v>Ravi</c:v>
                  </c:pt>
                  <c:pt idx="7">
                    <c:v>Priya</c:v>
                  </c:pt>
                  <c:pt idx="8">
                    <c:v>Kiran</c:v>
                  </c:pt>
                  <c:pt idx="9">
                    <c:v>Meena</c:v>
                  </c:pt>
                  <c:pt idx="10">
                    <c:v>Asha</c:v>
                  </c:pt>
                  <c:pt idx="11">
                    <c:v>Ravi</c:v>
                  </c:pt>
                  <c:pt idx="12">
                    <c:v>Priya</c:v>
                  </c:pt>
                  <c:pt idx="13">
                    <c:v>Kiran</c:v>
                  </c:pt>
                  <c:pt idx="14">
                    <c:v>Meena</c:v>
                  </c:pt>
                </c:lvl>
                <c:lvl>
                  <c:pt idx="0">
                    <c:v>05-Jan-2026</c:v>
                  </c:pt>
                  <c:pt idx="1">
                    <c:v>08-Jan-2026</c:v>
                  </c:pt>
                  <c:pt idx="2">
                    <c:v>12-Jan-2026</c:v>
                  </c:pt>
                  <c:pt idx="3">
                    <c:v>15-Jan-2026</c:v>
                  </c:pt>
                  <c:pt idx="4">
                    <c:v>20-Jan-2026</c:v>
                  </c:pt>
                  <c:pt idx="5">
                    <c:v>03-Feb-2026</c:v>
                  </c:pt>
                  <c:pt idx="6">
                    <c:v>07-Feb-2026</c:v>
                  </c:pt>
                  <c:pt idx="7">
                    <c:v>11-Feb-2026</c:v>
                  </c:pt>
                  <c:pt idx="8">
                    <c:v>18-Feb-2026</c:v>
                  </c:pt>
                  <c:pt idx="9">
                    <c:v>24-Feb-2026</c:v>
                  </c:pt>
                  <c:pt idx="10">
                    <c:v>04-Mar-2026</c:v>
                  </c:pt>
                  <c:pt idx="11">
                    <c:v>09-Mar-2026</c:v>
                  </c:pt>
                  <c:pt idx="12">
                    <c:v>13-Mar-2026</c:v>
                  </c:pt>
                  <c:pt idx="13">
                    <c:v>17-Mar-2026</c:v>
                  </c:pt>
                  <c:pt idx="14">
                    <c:v>22-Mar-2026</c:v>
                  </c:pt>
                </c:lvl>
              </c:multiLvlStrCache>
            </c:multiLvlStrRef>
          </c:cat>
          <c:val>
            <c:numRef>
              <c:f>'PIVOT TABLE &amp; CHART'!$D$4:$D$34</c:f>
              <c:numCache>
                <c:formatCode>General</c:formatCode>
                <c:ptCount val="15"/>
                <c:pt idx="0">
                  <c:v>3</c:v>
                </c:pt>
                <c:pt idx="1">
                  <c:v>5</c:v>
                </c:pt>
                <c:pt idx="2">
                  <c:v>10</c:v>
                </c:pt>
                <c:pt idx="3">
                  <c:v>2</c:v>
                </c:pt>
                <c:pt idx="4">
                  <c:v>15</c:v>
                </c:pt>
                <c:pt idx="5">
                  <c:v>4</c:v>
                </c:pt>
                <c:pt idx="6">
                  <c:v>2</c:v>
                </c:pt>
                <c:pt idx="7">
                  <c:v>20</c:v>
                </c:pt>
                <c:pt idx="8">
                  <c:v>12</c:v>
                </c:pt>
                <c:pt idx="9">
                  <c:v>6</c:v>
                </c:pt>
                <c:pt idx="10">
                  <c:v>1</c:v>
                </c:pt>
                <c:pt idx="11">
                  <c:v>25</c:v>
                </c:pt>
                <c:pt idx="12">
                  <c:v>3</c:v>
                </c:pt>
                <c:pt idx="13">
                  <c:v>3</c:v>
                </c:pt>
                <c:pt idx="14">
                  <c:v>15</c:v>
                </c:pt>
              </c:numCache>
            </c:numRef>
          </c:val>
          <c:extLst>
            <c:ext xmlns:c16="http://schemas.microsoft.com/office/drawing/2014/chart" uri="{C3380CC4-5D6E-409C-BE32-E72D297353CC}">
              <c16:uniqueId val="{00000002-5A9E-48B9-9847-7E46A41B8786}"/>
            </c:ext>
          </c:extLst>
        </c:ser>
        <c:dLbls>
          <c:showLegendKey val="0"/>
          <c:showVal val="0"/>
          <c:showCatName val="0"/>
          <c:showSerName val="0"/>
          <c:showPercent val="0"/>
          <c:showBubbleSize val="0"/>
        </c:dLbls>
        <c:gapWidth val="219"/>
        <c:overlap val="-27"/>
        <c:axId val="715263440"/>
        <c:axId val="760115632"/>
      </c:barChart>
      <c:catAx>
        <c:axId val="71526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115632"/>
        <c:crosses val="autoZero"/>
        <c:auto val="1"/>
        <c:lblAlgn val="ctr"/>
        <c:lblOffset val="100"/>
        <c:noMultiLvlLbl val="0"/>
      </c:catAx>
      <c:valAx>
        <c:axId val="760115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263440"/>
        <c:crosses val="autoZero"/>
        <c:crossBetween val="between"/>
      </c:valAx>
      <c:spPr>
        <a:noFill/>
        <a:ln>
          <a:noFill/>
        </a:ln>
        <a:effectLst/>
      </c:spPr>
    </c:plotArea>
    <c:legend>
      <c:legendPos val="r"/>
      <c:layout>
        <c:manualLayout>
          <c:xMode val="edge"/>
          <c:yMode val="edge"/>
          <c:x val="0.77621134964966987"/>
          <c:y val="0.34428841934658727"/>
          <c:w val="0.20916376905878217"/>
          <c:h val="0.237088446177875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[SILVIYA ANGEL EXCEL.xlsx]Column 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09808118645364"/>
          <c:y val="0.25402559055118112"/>
          <c:w val="0.73203659251331443"/>
          <c:h val="0.53811424613589964"/>
        </c:manualLayout>
      </c:layout>
      <c:barChart>
        <c:barDir val="col"/>
        <c:grouping val="clustered"/>
        <c:varyColors val="0"/>
        <c:ser>
          <c:idx val="0"/>
          <c:order val="0"/>
          <c:tx>
            <c:strRef>
              <c:f>'Column Chart'!$B$3</c:f>
              <c:strCache>
                <c:ptCount val="1"/>
                <c:pt idx="0">
                  <c:v>Total</c:v>
                </c:pt>
              </c:strCache>
            </c:strRef>
          </c:tx>
          <c:spPr>
            <a:solidFill>
              <a:schemeClr val="accent1"/>
            </a:solidFill>
            <a:ln>
              <a:noFill/>
            </a:ln>
            <a:effectLst/>
          </c:spPr>
          <c:invertIfNegative val="0"/>
          <c:cat>
            <c:strRef>
              <c:f>'Column Chart'!$A$4:$A$7</c:f>
              <c:strCache>
                <c:ptCount val="3"/>
                <c:pt idx="0">
                  <c:v>Customer Support</c:v>
                </c:pt>
                <c:pt idx="1">
                  <c:v>Sales</c:v>
                </c:pt>
                <c:pt idx="2">
                  <c:v>Technical Support</c:v>
                </c:pt>
              </c:strCache>
            </c:strRef>
          </c:cat>
          <c:val>
            <c:numRef>
              <c:f>'Column Chart'!$B$4:$B$7</c:f>
              <c:numCache>
                <c:formatCode>"₹"#,##0</c:formatCode>
                <c:ptCount val="3"/>
                <c:pt idx="0">
                  <c:v>295000</c:v>
                </c:pt>
                <c:pt idx="1">
                  <c:v>276500</c:v>
                </c:pt>
                <c:pt idx="2">
                  <c:v>243000</c:v>
                </c:pt>
              </c:numCache>
            </c:numRef>
          </c:val>
          <c:extLst>
            <c:ext xmlns:c16="http://schemas.microsoft.com/office/drawing/2014/chart" uri="{C3380CC4-5D6E-409C-BE32-E72D297353CC}">
              <c16:uniqueId val="{00000005-F47E-440B-AF35-E94BB60F9E6C}"/>
            </c:ext>
          </c:extLst>
        </c:ser>
        <c:dLbls>
          <c:showLegendKey val="0"/>
          <c:showVal val="0"/>
          <c:showCatName val="0"/>
          <c:showSerName val="0"/>
          <c:showPercent val="0"/>
          <c:showBubbleSize val="0"/>
        </c:dLbls>
        <c:gapWidth val="219"/>
        <c:overlap val="-27"/>
        <c:axId val="676776576"/>
        <c:axId val="661350704"/>
      </c:barChart>
      <c:catAx>
        <c:axId val="67677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350704"/>
        <c:crosses val="autoZero"/>
        <c:auto val="1"/>
        <c:lblAlgn val="ctr"/>
        <c:lblOffset val="100"/>
        <c:noMultiLvlLbl val="0"/>
      </c:catAx>
      <c:valAx>
        <c:axId val="6613507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77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[SILVIYA ANGEL EXCEL.xlsx]Pie Chart!PivotTable4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07-4D56-82BD-967526974B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07-4D56-82BD-967526974B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07-4D56-82BD-967526974B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407-4D56-82BD-967526974B4B}"/>
              </c:ext>
            </c:extLst>
          </c:dPt>
          <c:cat>
            <c:strRef>
              <c:f>'Pie Chart'!$A$4:$A$8</c:f>
              <c:strCache>
                <c:ptCount val="4"/>
                <c:pt idx="0">
                  <c:v>Keyboard</c:v>
                </c:pt>
                <c:pt idx="1">
                  <c:v>Laptop</c:v>
                </c:pt>
                <c:pt idx="2">
                  <c:v>Monitor</c:v>
                </c:pt>
                <c:pt idx="3">
                  <c:v>Mouse</c:v>
                </c:pt>
              </c:strCache>
            </c:strRef>
          </c:cat>
          <c:val>
            <c:numRef>
              <c:f>'Pie Chart'!$B$4:$B$8</c:f>
              <c:numCache>
                <c:formatCode>"₹"#,##0</c:formatCode>
                <c:ptCount val="4"/>
                <c:pt idx="0">
                  <c:v>4500</c:v>
                </c:pt>
                <c:pt idx="1">
                  <c:v>225000</c:v>
                </c:pt>
                <c:pt idx="2">
                  <c:v>48000</c:v>
                </c:pt>
                <c:pt idx="3">
                  <c:v>2400</c:v>
                </c:pt>
              </c:numCache>
            </c:numRef>
          </c:val>
          <c:extLst>
            <c:ext xmlns:c16="http://schemas.microsoft.com/office/drawing/2014/chart" uri="{C3380CC4-5D6E-409C-BE32-E72D297353CC}">
              <c16:uniqueId val="{00000000-8063-44FC-9BDB-5B77CDEAE48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[SILVIYA ANGEL EXCEL.xlsx]Bar Chart!PivotTable5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Chart'!$A$4:$A$7</c:f>
              <c:strCache>
                <c:ptCount val="3"/>
                <c:pt idx="0">
                  <c:v>Bangalore</c:v>
                </c:pt>
                <c:pt idx="1">
                  <c:v>Chennai</c:v>
                </c:pt>
                <c:pt idx="2">
                  <c:v>Hyderabad</c:v>
                </c:pt>
              </c:strCache>
            </c:strRef>
          </c:cat>
          <c:val>
            <c:numRef>
              <c:f>'Bar Chart'!$B$4:$B$7</c:f>
              <c:numCache>
                <c:formatCode>General</c:formatCode>
                <c:ptCount val="3"/>
                <c:pt idx="0">
                  <c:v>46</c:v>
                </c:pt>
                <c:pt idx="1">
                  <c:v>49</c:v>
                </c:pt>
                <c:pt idx="2">
                  <c:v>31</c:v>
                </c:pt>
              </c:numCache>
            </c:numRef>
          </c:val>
          <c:extLst>
            <c:ext xmlns:c16="http://schemas.microsoft.com/office/drawing/2014/chart" uri="{C3380CC4-5D6E-409C-BE32-E72D297353CC}">
              <c16:uniqueId val="{00000000-63B7-4F61-8EE9-8E590B537236}"/>
            </c:ext>
          </c:extLst>
        </c:ser>
        <c:dLbls>
          <c:showLegendKey val="0"/>
          <c:showVal val="0"/>
          <c:showCatName val="0"/>
          <c:showSerName val="0"/>
          <c:showPercent val="0"/>
          <c:showBubbleSize val="0"/>
        </c:dLbls>
        <c:gapWidth val="182"/>
        <c:axId val="1334632448"/>
        <c:axId val="661283504"/>
      </c:barChart>
      <c:catAx>
        <c:axId val="1334632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283504"/>
        <c:crosses val="autoZero"/>
        <c:auto val="1"/>
        <c:lblAlgn val="ctr"/>
        <c:lblOffset val="100"/>
        <c:noMultiLvlLbl val="0"/>
      </c:catAx>
      <c:valAx>
        <c:axId val="661283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63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[SILVIYA ANGEL EXCEL.xlsx]Area Chart!PivotTable6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'Area Chart'!$B$3</c:f>
              <c:strCache>
                <c:ptCount val="1"/>
                <c:pt idx="0">
                  <c:v>Total</c:v>
                </c:pt>
              </c:strCache>
            </c:strRef>
          </c:tx>
          <c:spPr>
            <a:solidFill>
              <a:schemeClr val="accent1"/>
            </a:solidFill>
            <a:ln>
              <a:noFill/>
            </a:ln>
            <a:effectLst/>
          </c:spPr>
          <c:cat>
            <c:strRef>
              <c:f>'Area Chart'!$A$4:$A$9</c:f>
              <c:strCache>
                <c:ptCount val="5"/>
                <c:pt idx="0">
                  <c:v>Asha</c:v>
                </c:pt>
                <c:pt idx="1">
                  <c:v>Kiran</c:v>
                </c:pt>
                <c:pt idx="2">
                  <c:v>Meena</c:v>
                </c:pt>
                <c:pt idx="3">
                  <c:v>Priya</c:v>
                </c:pt>
                <c:pt idx="4">
                  <c:v>Ravi</c:v>
                </c:pt>
              </c:strCache>
            </c:strRef>
          </c:cat>
          <c:val>
            <c:numRef>
              <c:f>'Area Chart'!$B$4:$B$9</c:f>
              <c:numCache>
                <c:formatCode>"₹"#,##0</c:formatCode>
                <c:ptCount val="5"/>
                <c:pt idx="0">
                  <c:v>228000</c:v>
                </c:pt>
                <c:pt idx="1">
                  <c:v>243000</c:v>
                </c:pt>
                <c:pt idx="2">
                  <c:v>106500</c:v>
                </c:pt>
                <c:pt idx="3">
                  <c:v>67000</c:v>
                </c:pt>
                <c:pt idx="4">
                  <c:v>170000</c:v>
                </c:pt>
              </c:numCache>
            </c:numRef>
          </c:val>
          <c:extLst>
            <c:ext xmlns:c16="http://schemas.microsoft.com/office/drawing/2014/chart" uri="{C3380CC4-5D6E-409C-BE32-E72D297353CC}">
              <c16:uniqueId val="{00000000-8F71-49BC-B655-183110EFE4E3}"/>
            </c:ext>
          </c:extLst>
        </c:ser>
        <c:dLbls>
          <c:showLegendKey val="0"/>
          <c:showVal val="0"/>
          <c:showCatName val="0"/>
          <c:showSerName val="0"/>
          <c:showPercent val="0"/>
          <c:showBubbleSize val="0"/>
        </c:dLbls>
        <c:axId val="1357338592"/>
        <c:axId val="661352624"/>
      </c:areaChart>
      <c:catAx>
        <c:axId val="1357338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352624"/>
        <c:crosses val="autoZero"/>
        <c:auto val="1"/>
        <c:lblAlgn val="ctr"/>
        <c:lblOffset val="100"/>
        <c:noMultiLvlLbl val="0"/>
      </c:catAx>
      <c:valAx>
        <c:axId val="661352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3385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[SILVIYA ANGEL EXCEL.xlsx]3D Pie Chart!PivotTable7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'3D Pie Chart'!$B$3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240-4FCE-8444-3277DCA5AE6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240-4FCE-8444-3277DCA5AE6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240-4FCE-8444-3277DCA5AE6A}"/>
              </c:ext>
            </c:extLst>
          </c:dPt>
          <c:cat>
            <c:strRef>
              <c:f>'3D Pie Chart'!$A$4:$A$7</c:f>
              <c:strCache>
                <c:ptCount val="3"/>
                <c:pt idx="0">
                  <c:v>Jan</c:v>
                </c:pt>
                <c:pt idx="1">
                  <c:v>Feb</c:v>
                </c:pt>
                <c:pt idx="2">
                  <c:v>Mar</c:v>
                </c:pt>
              </c:strCache>
            </c:strRef>
          </c:cat>
          <c:val>
            <c:numRef>
              <c:f>'3D Pie Chart'!$B$4:$B$7</c:f>
              <c:numCache>
                <c:formatCode>"₹"#,##0</c:formatCode>
                <c:ptCount val="3"/>
                <c:pt idx="0">
                  <c:v>312000</c:v>
                </c:pt>
                <c:pt idx="1">
                  <c:v>244000</c:v>
                </c:pt>
                <c:pt idx="2">
                  <c:v>258500</c:v>
                </c:pt>
              </c:numCache>
            </c:numRef>
          </c:val>
          <c:extLst>
            <c:ext xmlns:c16="http://schemas.microsoft.com/office/drawing/2014/chart" uri="{C3380CC4-5D6E-409C-BE32-E72D297353CC}">
              <c16:uniqueId val="{00000000-5C18-441B-9CBC-F5720E23ECE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[SILVIYA ANGEL EXCEL.xlsx] 2D Line Chart!PivotTable8</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2D Line Chart'!$B$3:$B$4</c:f>
              <c:strCache>
                <c:ptCount val="1"/>
                <c:pt idx="0">
                  <c:v>Keyboard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 2D Line Chart'!$A$5:$A$8</c:f>
              <c:strCache>
                <c:ptCount val="3"/>
                <c:pt idx="0">
                  <c:v>Customer Support</c:v>
                </c:pt>
                <c:pt idx="1">
                  <c:v>Sales</c:v>
                </c:pt>
                <c:pt idx="2">
                  <c:v>Technical Support</c:v>
                </c:pt>
              </c:strCache>
            </c:strRef>
          </c:cat>
          <c:val>
            <c:numRef>
              <c:f>' 2D Line Chart'!$B$5:$B$8</c:f>
              <c:numCache>
                <c:formatCode>General</c:formatCode>
                <c:ptCount val="3"/>
                <c:pt idx="0">
                  <c:v>10</c:v>
                </c:pt>
                <c:pt idx="1">
                  <c:v>15</c:v>
                </c:pt>
                <c:pt idx="2">
                  <c:v>12</c:v>
                </c:pt>
              </c:numCache>
            </c:numRef>
          </c:val>
          <c:smooth val="0"/>
          <c:extLst>
            <c:ext xmlns:c16="http://schemas.microsoft.com/office/drawing/2014/chart" uri="{C3380CC4-5D6E-409C-BE32-E72D297353CC}">
              <c16:uniqueId val="{00000000-1FC8-43EF-ACFC-A3FCD543EB7C}"/>
            </c:ext>
          </c:extLst>
        </c:ser>
        <c:ser>
          <c:idx val="1"/>
          <c:order val="1"/>
          <c:tx>
            <c:strRef>
              <c:f>' 2D Line Chart'!$C$3:$C$4</c:f>
              <c:strCache>
                <c:ptCount val="1"/>
                <c:pt idx="0">
                  <c:v>Laptop</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 2D Line Chart'!$A$5:$A$8</c:f>
              <c:strCache>
                <c:ptCount val="3"/>
                <c:pt idx="0">
                  <c:v>Customer Support</c:v>
                </c:pt>
                <c:pt idx="1">
                  <c:v>Sales</c:v>
                </c:pt>
                <c:pt idx="2">
                  <c:v>Technical Support</c:v>
                </c:pt>
              </c:strCache>
            </c:strRef>
          </c:cat>
          <c:val>
            <c:numRef>
              <c:f>' 2D Line Chart'!$C$5:$C$8</c:f>
              <c:numCache>
                <c:formatCode>General</c:formatCode>
                <c:ptCount val="3"/>
                <c:pt idx="0">
                  <c:v>4</c:v>
                </c:pt>
                <c:pt idx="1">
                  <c:v>2</c:v>
                </c:pt>
                <c:pt idx="2">
                  <c:v>5</c:v>
                </c:pt>
              </c:numCache>
            </c:numRef>
          </c:val>
          <c:smooth val="0"/>
          <c:extLst>
            <c:ext xmlns:c16="http://schemas.microsoft.com/office/drawing/2014/chart" uri="{C3380CC4-5D6E-409C-BE32-E72D297353CC}">
              <c16:uniqueId val="{00000001-1FC8-43EF-ACFC-A3FCD543EB7C}"/>
            </c:ext>
          </c:extLst>
        </c:ser>
        <c:ser>
          <c:idx val="2"/>
          <c:order val="2"/>
          <c:tx>
            <c:strRef>
              <c:f>' 2D Line Chart'!$D$3:$D$4</c:f>
              <c:strCache>
                <c:ptCount val="1"/>
                <c:pt idx="0">
                  <c:v>Monitor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 2D Line Chart'!$A$5:$A$8</c:f>
              <c:strCache>
                <c:ptCount val="3"/>
                <c:pt idx="0">
                  <c:v>Customer Support</c:v>
                </c:pt>
                <c:pt idx="1">
                  <c:v>Sales</c:v>
                </c:pt>
                <c:pt idx="2">
                  <c:v>Technical Support</c:v>
                </c:pt>
              </c:strCache>
            </c:strRef>
          </c:cat>
          <c:val>
            <c:numRef>
              <c:f>' 2D Line Chart'!$D$5:$D$8</c:f>
              <c:numCache>
                <c:formatCode>General</c:formatCode>
                <c:ptCount val="3"/>
                <c:pt idx="0">
                  <c:v>7</c:v>
                </c:pt>
                <c:pt idx="1">
                  <c:v>11</c:v>
                </c:pt>
              </c:numCache>
            </c:numRef>
          </c:val>
          <c:smooth val="0"/>
          <c:extLst>
            <c:ext xmlns:c16="http://schemas.microsoft.com/office/drawing/2014/chart" uri="{C3380CC4-5D6E-409C-BE32-E72D297353CC}">
              <c16:uniqueId val="{00000002-1FC8-43EF-ACFC-A3FCD543EB7C}"/>
            </c:ext>
          </c:extLst>
        </c:ser>
        <c:ser>
          <c:idx val="3"/>
          <c:order val="3"/>
          <c:tx>
            <c:strRef>
              <c:f>' 2D Line Chart'!$E$3:$E$4</c:f>
              <c:strCache>
                <c:ptCount val="1"/>
                <c:pt idx="0">
                  <c:v>Mouse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 2D Line Chart'!$A$5:$A$8</c:f>
              <c:strCache>
                <c:ptCount val="3"/>
                <c:pt idx="0">
                  <c:v>Customer Support</c:v>
                </c:pt>
                <c:pt idx="1">
                  <c:v>Sales</c:v>
                </c:pt>
                <c:pt idx="2">
                  <c:v>Technical Support</c:v>
                </c:pt>
              </c:strCache>
            </c:strRef>
          </c:cat>
          <c:val>
            <c:numRef>
              <c:f>' 2D Line Chart'!$E$5:$E$8</c:f>
              <c:numCache>
                <c:formatCode>General</c:formatCode>
                <c:ptCount val="3"/>
                <c:pt idx="0">
                  <c:v>20</c:v>
                </c:pt>
                <c:pt idx="1">
                  <c:v>40</c:v>
                </c:pt>
              </c:numCache>
            </c:numRef>
          </c:val>
          <c:smooth val="0"/>
          <c:extLst>
            <c:ext xmlns:c16="http://schemas.microsoft.com/office/drawing/2014/chart" uri="{C3380CC4-5D6E-409C-BE32-E72D297353CC}">
              <c16:uniqueId val="{00000003-1FC8-43EF-ACFC-A3FCD543EB7C}"/>
            </c:ext>
          </c:extLst>
        </c:ser>
        <c:dLbls>
          <c:showLegendKey val="0"/>
          <c:showVal val="0"/>
          <c:showCatName val="0"/>
          <c:showSerName val="0"/>
          <c:showPercent val="0"/>
          <c:showBubbleSize val="0"/>
        </c:dLbls>
        <c:marker val="1"/>
        <c:smooth val="0"/>
        <c:axId val="1357359008"/>
        <c:axId val="661408784"/>
      </c:lineChart>
      <c:catAx>
        <c:axId val="135735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408784"/>
        <c:crosses val="autoZero"/>
        <c:auto val="1"/>
        <c:lblAlgn val="ctr"/>
        <c:lblOffset val="100"/>
        <c:noMultiLvlLbl val="0"/>
      </c:catAx>
      <c:valAx>
        <c:axId val="66140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35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[SILVIYA ANGEL EXCEL.xlsx]Column Chart!PivotTable3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solidFill>
              <a:schemeClr val="accent1"/>
            </a:solidFill>
            <a:ln>
              <a:noFill/>
            </a:ln>
            <a:effectLst/>
          </c:spPr>
          <c:invertIfNegative val="0"/>
          <c:cat>
            <c:strRef>
              <c:f>'Column Chart'!$A$4:$A$7</c:f>
              <c:strCache>
                <c:ptCount val="3"/>
                <c:pt idx="0">
                  <c:v>Customer Support</c:v>
                </c:pt>
                <c:pt idx="1">
                  <c:v>Sales</c:v>
                </c:pt>
                <c:pt idx="2">
                  <c:v>Technical Support</c:v>
                </c:pt>
              </c:strCache>
            </c:strRef>
          </c:cat>
          <c:val>
            <c:numRef>
              <c:f>'Column Chart'!$B$4:$B$7</c:f>
              <c:numCache>
                <c:formatCode>"₹"#,##0</c:formatCode>
                <c:ptCount val="3"/>
                <c:pt idx="0">
                  <c:v>295000</c:v>
                </c:pt>
                <c:pt idx="1">
                  <c:v>276500</c:v>
                </c:pt>
                <c:pt idx="2">
                  <c:v>243000</c:v>
                </c:pt>
              </c:numCache>
            </c:numRef>
          </c:val>
          <c:extLst>
            <c:ext xmlns:c16="http://schemas.microsoft.com/office/drawing/2014/chart" uri="{C3380CC4-5D6E-409C-BE32-E72D297353CC}">
              <c16:uniqueId val="{00000005-AD8C-4094-A3C4-7EB48B423841}"/>
            </c:ext>
          </c:extLst>
        </c:ser>
        <c:dLbls>
          <c:showLegendKey val="0"/>
          <c:showVal val="0"/>
          <c:showCatName val="0"/>
          <c:showSerName val="0"/>
          <c:showPercent val="0"/>
          <c:showBubbleSize val="0"/>
        </c:dLbls>
        <c:gapWidth val="219"/>
        <c:overlap val="-27"/>
        <c:axId val="676776576"/>
        <c:axId val="661350704"/>
      </c:barChart>
      <c:catAx>
        <c:axId val="67677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350704"/>
        <c:crosses val="autoZero"/>
        <c:auto val="1"/>
        <c:lblAlgn val="ctr"/>
        <c:lblOffset val="100"/>
        <c:noMultiLvlLbl val="0"/>
      </c:catAx>
      <c:valAx>
        <c:axId val="6613507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77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[SILVIYA ANGEL EXCEL.xlsx]Pie Chart!PivotTable4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DB-4065-8108-E41DF7311D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DB-4065-8108-E41DF7311D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DB-4065-8108-E41DF7311D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DB-4065-8108-E41DF7311D52}"/>
              </c:ext>
            </c:extLst>
          </c:dPt>
          <c:cat>
            <c:strRef>
              <c:f>'Pie Chart'!$A$4:$A$8</c:f>
              <c:strCache>
                <c:ptCount val="4"/>
                <c:pt idx="0">
                  <c:v>Keyboard</c:v>
                </c:pt>
                <c:pt idx="1">
                  <c:v>Laptop</c:v>
                </c:pt>
                <c:pt idx="2">
                  <c:v>Monitor</c:v>
                </c:pt>
                <c:pt idx="3">
                  <c:v>Mouse</c:v>
                </c:pt>
              </c:strCache>
            </c:strRef>
          </c:cat>
          <c:val>
            <c:numRef>
              <c:f>'Pie Chart'!$B$4:$B$8</c:f>
              <c:numCache>
                <c:formatCode>"₹"#,##0</c:formatCode>
                <c:ptCount val="4"/>
                <c:pt idx="0">
                  <c:v>4500</c:v>
                </c:pt>
                <c:pt idx="1">
                  <c:v>225000</c:v>
                </c:pt>
                <c:pt idx="2">
                  <c:v>48000</c:v>
                </c:pt>
                <c:pt idx="3">
                  <c:v>2400</c:v>
                </c:pt>
              </c:numCache>
            </c:numRef>
          </c:val>
          <c:extLst>
            <c:ext xmlns:c16="http://schemas.microsoft.com/office/drawing/2014/chart" uri="{C3380CC4-5D6E-409C-BE32-E72D297353CC}">
              <c16:uniqueId val="{00000008-83DB-4065-8108-E41DF7311D5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[SILVIYA ANGEL EXCEL.xlsx]Bar Chart!PivotTable5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Chart'!$A$4:$A$7</c:f>
              <c:strCache>
                <c:ptCount val="3"/>
                <c:pt idx="0">
                  <c:v>Bangalore</c:v>
                </c:pt>
                <c:pt idx="1">
                  <c:v>Chennai</c:v>
                </c:pt>
                <c:pt idx="2">
                  <c:v>Hyderabad</c:v>
                </c:pt>
              </c:strCache>
            </c:strRef>
          </c:cat>
          <c:val>
            <c:numRef>
              <c:f>'Bar Chart'!$B$4:$B$7</c:f>
              <c:numCache>
                <c:formatCode>General</c:formatCode>
                <c:ptCount val="3"/>
                <c:pt idx="0">
                  <c:v>46</c:v>
                </c:pt>
                <c:pt idx="1">
                  <c:v>49</c:v>
                </c:pt>
                <c:pt idx="2">
                  <c:v>31</c:v>
                </c:pt>
              </c:numCache>
            </c:numRef>
          </c:val>
          <c:extLst>
            <c:ext xmlns:c16="http://schemas.microsoft.com/office/drawing/2014/chart" uri="{C3380CC4-5D6E-409C-BE32-E72D297353CC}">
              <c16:uniqueId val="{00000000-5E76-41AE-946E-F2CC5483F7FB}"/>
            </c:ext>
          </c:extLst>
        </c:ser>
        <c:dLbls>
          <c:showLegendKey val="0"/>
          <c:showVal val="0"/>
          <c:showCatName val="0"/>
          <c:showSerName val="0"/>
          <c:showPercent val="0"/>
          <c:showBubbleSize val="0"/>
        </c:dLbls>
        <c:gapWidth val="182"/>
        <c:axId val="1334632448"/>
        <c:axId val="661283504"/>
      </c:barChart>
      <c:catAx>
        <c:axId val="1334632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283504"/>
        <c:crosses val="autoZero"/>
        <c:auto val="1"/>
        <c:lblAlgn val="ctr"/>
        <c:lblOffset val="100"/>
        <c:noMultiLvlLbl val="0"/>
      </c:catAx>
      <c:valAx>
        <c:axId val="661283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63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[SILVIYA ANGEL EXCEL.xlsx]Area Chart!PivotTable6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'Area Chart'!$B$3</c:f>
              <c:strCache>
                <c:ptCount val="1"/>
                <c:pt idx="0">
                  <c:v>Total</c:v>
                </c:pt>
              </c:strCache>
            </c:strRef>
          </c:tx>
          <c:spPr>
            <a:solidFill>
              <a:schemeClr val="accent1"/>
            </a:solidFill>
            <a:ln>
              <a:noFill/>
            </a:ln>
            <a:effectLst/>
          </c:spPr>
          <c:cat>
            <c:strRef>
              <c:f>'Area Chart'!$A$4:$A$9</c:f>
              <c:strCache>
                <c:ptCount val="5"/>
                <c:pt idx="0">
                  <c:v>Asha</c:v>
                </c:pt>
                <c:pt idx="1">
                  <c:v>Kiran</c:v>
                </c:pt>
                <c:pt idx="2">
                  <c:v>Meena</c:v>
                </c:pt>
                <c:pt idx="3">
                  <c:v>Priya</c:v>
                </c:pt>
                <c:pt idx="4">
                  <c:v>Ravi</c:v>
                </c:pt>
              </c:strCache>
            </c:strRef>
          </c:cat>
          <c:val>
            <c:numRef>
              <c:f>'Area Chart'!$B$4:$B$9</c:f>
              <c:numCache>
                <c:formatCode>"₹"#,##0</c:formatCode>
                <c:ptCount val="5"/>
                <c:pt idx="0">
                  <c:v>228000</c:v>
                </c:pt>
                <c:pt idx="1">
                  <c:v>243000</c:v>
                </c:pt>
                <c:pt idx="2">
                  <c:v>106500</c:v>
                </c:pt>
                <c:pt idx="3">
                  <c:v>67000</c:v>
                </c:pt>
                <c:pt idx="4">
                  <c:v>170000</c:v>
                </c:pt>
              </c:numCache>
            </c:numRef>
          </c:val>
          <c:extLst>
            <c:ext xmlns:c16="http://schemas.microsoft.com/office/drawing/2014/chart" uri="{C3380CC4-5D6E-409C-BE32-E72D297353CC}">
              <c16:uniqueId val="{00000000-2075-480A-9B6A-7A436343E58A}"/>
            </c:ext>
          </c:extLst>
        </c:ser>
        <c:dLbls>
          <c:showLegendKey val="0"/>
          <c:showVal val="0"/>
          <c:showCatName val="0"/>
          <c:showSerName val="0"/>
          <c:showPercent val="0"/>
          <c:showBubbleSize val="0"/>
        </c:dLbls>
        <c:axId val="1357338592"/>
        <c:axId val="661352624"/>
      </c:areaChart>
      <c:catAx>
        <c:axId val="1357338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352624"/>
        <c:crosses val="autoZero"/>
        <c:auto val="1"/>
        <c:lblAlgn val="ctr"/>
        <c:lblOffset val="100"/>
        <c:noMultiLvlLbl val="0"/>
      </c:catAx>
      <c:valAx>
        <c:axId val="661352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3385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[SILVIYA ANGEL EXCEL.xlsx] 2D Line Chart!PivotTable8</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2D Line Chart'!$B$3:$B$4</c:f>
              <c:strCache>
                <c:ptCount val="1"/>
                <c:pt idx="0">
                  <c:v>Keyboard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 2D Line Chart'!$A$5:$A$8</c:f>
              <c:strCache>
                <c:ptCount val="3"/>
                <c:pt idx="0">
                  <c:v>Customer Support</c:v>
                </c:pt>
                <c:pt idx="1">
                  <c:v>Sales</c:v>
                </c:pt>
                <c:pt idx="2">
                  <c:v>Technical Support</c:v>
                </c:pt>
              </c:strCache>
            </c:strRef>
          </c:cat>
          <c:val>
            <c:numRef>
              <c:f>' 2D Line Chart'!$B$5:$B$8</c:f>
              <c:numCache>
                <c:formatCode>General</c:formatCode>
                <c:ptCount val="3"/>
                <c:pt idx="0">
                  <c:v>10</c:v>
                </c:pt>
                <c:pt idx="1">
                  <c:v>15</c:v>
                </c:pt>
                <c:pt idx="2">
                  <c:v>12</c:v>
                </c:pt>
              </c:numCache>
            </c:numRef>
          </c:val>
          <c:smooth val="0"/>
          <c:extLst>
            <c:ext xmlns:c16="http://schemas.microsoft.com/office/drawing/2014/chart" uri="{C3380CC4-5D6E-409C-BE32-E72D297353CC}">
              <c16:uniqueId val="{00000000-62F1-4C8A-9359-0F7DDFDEF169}"/>
            </c:ext>
          </c:extLst>
        </c:ser>
        <c:ser>
          <c:idx val="1"/>
          <c:order val="1"/>
          <c:tx>
            <c:strRef>
              <c:f>' 2D Line Chart'!$C$3:$C$4</c:f>
              <c:strCache>
                <c:ptCount val="1"/>
                <c:pt idx="0">
                  <c:v>Laptop</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 2D Line Chart'!$A$5:$A$8</c:f>
              <c:strCache>
                <c:ptCount val="3"/>
                <c:pt idx="0">
                  <c:v>Customer Support</c:v>
                </c:pt>
                <c:pt idx="1">
                  <c:v>Sales</c:v>
                </c:pt>
                <c:pt idx="2">
                  <c:v>Technical Support</c:v>
                </c:pt>
              </c:strCache>
            </c:strRef>
          </c:cat>
          <c:val>
            <c:numRef>
              <c:f>' 2D Line Chart'!$C$5:$C$8</c:f>
              <c:numCache>
                <c:formatCode>General</c:formatCode>
                <c:ptCount val="3"/>
                <c:pt idx="0">
                  <c:v>4</c:v>
                </c:pt>
                <c:pt idx="1">
                  <c:v>2</c:v>
                </c:pt>
                <c:pt idx="2">
                  <c:v>5</c:v>
                </c:pt>
              </c:numCache>
            </c:numRef>
          </c:val>
          <c:smooth val="0"/>
          <c:extLst>
            <c:ext xmlns:c16="http://schemas.microsoft.com/office/drawing/2014/chart" uri="{C3380CC4-5D6E-409C-BE32-E72D297353CC}">
              <c16:uniqueId val="{00000001-62F1-4C8A-9359-0F7DDFDEF169}"/>
            </c:ext>
          </c:extLst>
        </c:ser>
        <c:ser>
          <c:idx val="2"/>
          <c:order val="2"/>
          <c:tx>
            <c:strRef>
              <c:f>' 2D Line Chart'!$D$3:$D$4</c:f>
              <c:strCache>
                <c:ptCount val="1"/>
                <c:pt idx="0">
                  <c:v>Monitor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 2D Line Chart'!$A$5:$A$8</c:f>
              <c:strCache>
                <c:ptCount val="3"/>
                <c:pt idx="0">
                  <c:v>Customer Support</c:v>
                </c:pt>
                <c:pt idx="1">
                  <c:v>Sales</c:v>
                </c:pt>
                <c:pt idx="2">
                  <c:v>Technical Support</c:v>
                </c:pt>
              </c:strCache>
            </c:strRef>
          </c:cat>
          <c:val>
            <c:numRef>
              <c:f>' 2D Line Chart'!$D$5:$D$8</c:f>
              <c:numCache>
                <c:formatCode>General</c:formatCode>
                <c:ptCount val="3"/>
                <c:pt idx="0">
                  <c:v>7</c:v>
                </c:pt>
                <c:pt idx="1">
                  <c:v>11</c:v>
                </c:pt>
              </c:numCache>
            </c:numRef>
          </c:val>
          <c:smooth val="0"/>
          <c:extLst>
            <c:ext xmlns:c16="http://schemas.microsoft.com/office/drawing/2014/chart" uri="{C3380CC4-5D6E-409C-BE32-E72D297353CC}">
              <c16:uniqueId val="{00000002-62F1-4C8A-9359-0F7DDFDEF169}"/>
            </c:ext>
          </c:extLst>
        </c:ser>
        <c:ser>
          <c:idx val="3"/>
          <c:order val="3"/>
          <c:tx>
            <c:strRef>
              <c:f>' 2D Line Chart'!$E$3:$E$4</c:f>
              <c:strCache>
                <c:ptCount val="1"/>
                <c:pt idx="0">
                  <c:v>Mouse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 2D Line Chart'!$A$5:$A$8</c:f>
              <c:strCache>
                <c:ptCount val="3"/>
                <c:pt idx="0">
                  <c:v>Customer Support</c:v>
                </c:pt>
                <c:pt idx="1">
                  <c:v>Sales</c:v>
                </c:pt>
                <c:pt idx="2">
                  <c:v>Technical Support</c:v>
                </c:pt>
              </c:strCache>
            </c:strRef>
          </c:cat>
          <c:val>
            <c:numRef>
              <c:f>' 2D Line Chart'!$E$5:$E$8</c:f>
              <c:numCache>
                <c:formatCode>General</c:formatCode>
                <c:ptCount val="3"/>
                <c:pt idx="0">
                  <c:v>20</c:v>
                </c:pt>
                <c:pt idx="1">
                  <c:v>40</c:v>
                </c:pt>
              </c:numCache>
            </c:numRef>
          </c:val>
          <c:smooth val="0"/>
          <c:extLst>
            <c:ext xmlns:c16="http://schemas.microsoft.com/office/drawing/2014/chart" uri="{C3380CC4-5D6E-409C-BE32-E72D297353CC}">
              <c16:uniqueId val="{00000003-62F1-4C8A-9359-0F7DDFDEF169}"/>
            </c:ext>
          </c:extLst>
        </c:ser>
        <c:dLbls>
          <c:showLegendKey val="0"/>
          <c:showVal val="0"/>
          <c:showCatName val="0"/>
          <c:showSerName val="0"/>
          <c:showPercent val="0"/>
          <c:showBubbleSize val="0"/>
        </c:dLbls>
        <c:marker val="1"/>
        <c:smooth val="0"/>
        <c:axId val="1357359008"/>
        <c:axId val="661408784"/>
      </c:lineChart>
      <c:catAx>
        <c:axId val="135735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408784"/>
        <c:crosses val="autoZero"/>
        <c:auto val="1"/>
        <c:lblAlgn val="ctr"/>
        <c:lblOffset val="100"/>
        <c:noMultiLvlLbl val="0"/>
      </c:catAx>
      <c:valAx>
        <c:axId val="66140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35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[SILVIYA ANGEL EXCEL.xlsx]3D Pie Chart!PivotTable7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'3D Pie Chart'!$B$3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305-4DA1-9CBF-840C6075EC5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305-4DA1-9CBF-840C6075EC5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305-4DA1-9CBF-840C6075EC51}"/>
              </c:ext>
            </c:extLst>
          </c:dPt>
          <c:cat>
            <c:strRef>
              <c:f>'3D Pie Chart'!$A$4:$A$7</c:f>
              <c:strCache>
                <c:ptCount val="3"/>
                <c:pt idx="0">
                  <c:v>Jan</c:v>
                </c:pt>
                <c:pt idx="1">
                  <c:v>Feb</c:v>
                </c:pt>
                <c:pt idx="2">
                  <c:v>Mar</c:v>
                </c:pt>
              </c:strCache>
            </c:strRef>
          </c:cat>
          <c:val>
            <c:numRef>
              <c:f>'3D Pie Chart'!$B$4:$B$7</c:f>
              <c:numCache>
                <c:formatCode>"₹"#,##0</c:formatCode>
                <c:ptCount val="3"/>
                <c:pt idx="0">
                  <c:v>312000</c:v>
                </c:pt>
                <c:pt idx="1">
                  <c:v>244000</c:v>
                </c:pt>
                <c:pt idx="2">
                  <c:v>258500</c:v>
                </c:pt>
              </c:numCache>
            </c:numRef>
          </c:val>
          <c:extLst>
            <c:ext xmlns:c16="http://schemas.microsoft.com/office/drawing/2014/chart" uri="{C3380CC4-5D6E-409C-BE32-E72D297353CC}">
              <c16:uniqueId val="{00000006-A305-4DA1-9CBF-840C6075EC5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952500</xdr:colOff>
      <xdr:row>7</xdr:row>
      <xdr:rowOff>71436</xdr:rowOff>
    </xdr:from>
    <xdr:to>
      <xdr:col>14</xdr:col>
      <xdr:colOff>295275</xdr:colOff>
      <xdr:row>29</xdr:row>
      <xdr:rowOff>114299</xdr:rowOff>
    </xdr:to>
    <xdr:graphicFrame macro="">
      <xdr:nvGraphicFramePr>
        <xdr:cNvPr id="5" name="Chart 4">
          <a:extLst>
            <a:ext uri="{FF2B5EF4-FFF2-40B4-BE49-F238E27FC236}">
              <a16:creationId xmlns:a16="http://schemas.microsoft.com/office/drawing/2014/main" id="{78EC04A8-5CD9-B7AB-C045-382DFBC6CB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285750</xdr:colOff>
      <xdr:row>5</xdr:row>
      <xdr:rowOff>33337</xdr:rowOff>
    </xdr:from>
    <xdr:to>
      <xdr:col>13</xdr:col>
      <xdr:colOff>962025</xdr:colOff>
      <xdr:row>19</xdr:row>
      <xdr:rowOff>109537</xdr:rowOff>
    </xdr:to>
    <xdr:graphicFrame macro="">
      <xdr:nvGraphicFramePr>
        <xdr:cNvPr id="2" name="Chart 1">
          <a:extLst>
            <a:ext uri="{FF2B5EF4-FFF2-40B4-BE49-F238E27FC236}">
              <a16:creationId xmlns:a16="http://schemas.microsoft.com/office/drawing/2014/main" id="{66438845-9938-7952-96D4-673D3A612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476250</xdr:colOff>
      <xdr:row>3</xdr:row>
      <xdr:rowOff>119062</xdr:rowOff>
    </xdr:from>
    <xdr:to>
      <xdr:col>15</xdr:col>
      <xdr:colOff>171450</xdr:colOff>
      <xdr:row>18</xdr:row>
      <xdr:rowOff>4762</xdr:rowOff>
    </xdr:to>
    <xdr:graphicFrame macro="">
      <xdr:nvGraphicFramePr>
        <xdr:cNvPr id="2" name="Chart 1">
          <a:extLst>
            <a:ext uri="{FF2B5EF4-FFF2-40B4-BE49-F238E27FC236}">
              <a16:creationId xmlns:a16="http://schemas.microsoft.com/office/drawing/2014/main" id="{E733E585-5E1A-6C82-CA49-84F70D3C8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19050</xdr:colOff>
      <xdr:row>1</xdr:row>
      <xdr:rowOff>138112</xdr:rowOff>
    </xdr:from>
    <xdr:to>
      <xdr:col>14</xdr:col>
      <xdr:colOff>323850</xdr:colOff>
      <xdr:row>16</xdr:row>
      <xdr:rowOff>23812</xdr:rowOff>
    </xdr:to>
    <xdr:graphicFrame macro="">
      <xdr:nvGraphicFramePr>
        <xdr:cNvPr id="2" name="Chart 1">
          <a:extLst>
            <a:ext uri="{FF2B5EF4-FFF2-40B4-BE49-F238E27FC236}">
              <a16:creationId xmlns:a16="http://schemas.microsoft.com/office/drawing/2014/main" id="{AE5644FF-F22D-F500-EF91-ADB11287C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180975</xdr:colOff>
      <xdr:row>1</xdr:row>
      <xdr:rowOff>23812</xdr:rowOff>
    </xdr:from>
    <xdr:to>
      <xdr:col>13</xdr:col>
      <xdr:colOff>485775</xdr:colOff>
      <xdr:row>15</xdr:row>
      <xdr:rowOff>100012</xdr:rowOff>
    </xdr:to>
    <xdr:graphicFrame macro="">
      <xdr:nvGraphicFramePr>
        <xdr:cNvPr id="2" name="Chart 1">
          <a:extLst>
            <a:ext uri="{FF2B5EF4-FFF2-40B4-BE49-F238E27FC236}">
              <a16:creationId xmlns:a16="http://schemas.microsoft.com/office/drawing/2014/main" id="{73D7ED45-5892-3D16-4A86-6FA15AE0C4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28575</xdr:colOff>
      <xdr:row>0</xdr:row>
      <xdr:rowOff>176212</xdr:rowOff>
    </xdr:from>
    <xdr:to>
      <xdr:col>15</xdr:col>
      <xdr:colOff>333375</xdr:colOff>
      <xdr:row>15</xdr:row>
      <xdr:rowOff>61912</xdr:rowOff>
    </xdr:to>
    <xdr:graphicFrame macro="">
      <xdr:nvGraphicFramePr>
        <xdr:cNvPr id="2" name="Chart 1">
          <a:extLst>
            <a:ext uri="{FF2B5EF4-FFF2-40B4-BE49-F238E27FC236}">
              <a16:creationId xmlns:a16="http://schemas.microsoft.com/office/drawing/2014/main" id="{3C750B72-1B98-675F-0D49-D24E593B2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19050</xdr:colOff>
      <xdr:row>1</xdr:row>
      <xdr:rowOff>157162</xdr:rowOff>
    </xdr:from>
    <xdr:to>
      <xdr:col>10</xdr:col>
      <xdr:colOff>533400</xdr:colOff>
      <xdr:row>16</xdr:row>
      <xdr:rowOff>42862</xdr:rowOff>
    </xdr:to>
    <xdr:graphicFrame macro="">
      <xdr:nvGraphicFramePr>
        <xdr:cNvPr id="2" name="Chart 1">
          <a:extLst>
            <a:ext uri="{FF2B5EF4-FFF2-40B4-BE49-F238E27FC236}">
              <a16:creationId xmlns:a16="http://schemas.microsoft.com/office/drawing/2014/main" id="{7BCEBF16-D3AD-FBB7-C7B2-07419A0C7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85725</xdr:colOff>
      <xdr:row>2</xdr:row>
      <xdr:rowOff>104775</xdr:rowOff>
    </xdr:from>
    <xdr:to>
      <xdr:col>7</xdr:col>
      <xdr:colOff>390525</xdr:colOff>
      <xdr:row>16</xdr:row>
      <xdr:rowOff>180975</xdr:rowOff>
    </xdr:to>
    <xdr:graphicFrame macro="">
      <xdr:nvGraphicFramePr>
        <xdr:cNvPr id="2" name="Chart 1">
          <a:extLst>
            <a:ext uri="{FF2B5EF4-FFF2-40B4-BE49-F238E27FC236}">
              <a16:creationId xmlns:a16="http://schemas.microsoft.com/office/drawing/2014/main" id="{D2530031-4A8F-4627-9106-A4D9450D2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xdr:colOff>
      <xdr:row>2</xdr:row>
      <xdr:rowOff>123825</xdr:rowOff>
    </xdr:from>
    <xdr:to>
      <xdr:col>15</xdr:col>
      <xdr:colOff>361950</xdr:colOff>
      <xdr:row>17</xdr:row>
      <xdr:rowOff>9525</xdr:rowOff>
    </xdr:to>
    <xdr:graphicFrame macro="">
      <xdr:nvGraphicFramePr>
        <xdr:cNvPr id="4" name="Chart 3">
          <a:extLst>
            <a:ext uri="{FF2B5EF4-FFF2-40B4-BE49-F238E27FC236}">
              <a16:creationId xmlns:a16="http://schemas.microsoft.com/office/drawing/2014/main" id="{9C4B233C-7361-4ED4-9EED-5CDBEAD2E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19050</xdr:colOff>
      <xdr:row>2</xdr:row>
      <xdr:rowOff>123825</xdr:rowOff>
    </xdr:from>
    <xdr:to>
      <xdr:col>23</xdr:col>
      <xdr:colOff>323850</xdr:colOff>
      <xdr:row>17</xdr:row>
      <xdr:rowOff>9525</xdr:rowOff>
    </xdr:to>
    <xdr:graphicFrame macro="">
      <xdr:nvGraphicFramePr>
        <xdr:cNvPr id="5" name="Chart 4">
          <a:extLst>
            <a:ext uri="{FF2B5EF4-FFF2-40B4-BE49-F238E27FC236}">
              <a16:creationId xmlns:a16="http://schemas.microsoft.com/office/drawing/2014/main" id="{AE38BD54-674B-435D-BB15-2EAAD56C6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104774</xdr:colOff>
      <xdr:row>18</xdr:row>
      <xdr:rowOff>95250</xdr:rowOff>
    </xdr:from>
    <xdr:to>
      <xdr:col>7</xdr:col>
      <xdr:colOff>400049</xdr:colOff>
      <xdr:row>32</xdr:row>
      <xdr:rowOff>171450</xdr:rowOff>
    </xdr:to>
    <xdr:graphicFrame macro="">
      <xdr:nvGraphicFramePr>
        <xdr:cNvPr id="6" name="Chart 5">
          <a:extLst>
            <a:ext uri="{FF2B5EF4-FFF2-40B4-BE49-F238E27FC236}">
              <a16:creationId xmlns:a16="http://schemas.microsoft.com/office/drawing/2014/main" id="{DBB5C2D6-F823-4B19-830A-E8E328B41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38100</xdr:colOff>
      <xdr:row>18</xdr:row>
      <xdr:rowOff>114300</xdr:rowOff>
    </xdr:from>
    <xdr:to>
      <xdr:col>23</xdr:col>
      <xdr:colOff>342900</xdr:colOff>
      <xdr:row>33</xdr:row>
      <xdr:rowOff>0</xdr:rowOff>
    </xdr:to>
    <xdr:graphicFrame macro="">
      <xdr:nvGraphicFramePr>
        <xdr:cNvPr id="7" name="Chart 6">
          <a:extLst>
            <a:ext uri="{FF2B5EF4-FFF2-40B4-BE49-F238E27FC236}">
              <a16:creationId xmlns:a16="http://schemas.microsoft.com/office/drawing/2014/main" id="{715DB5DB-FDFA-4632-8F64-B4195B6E2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9525</xdr:colOff>
      <xdr:row>18</xdr:row>
      <xdr:rowOff>114300</xdr:rowOff>
    </xdr:from>
    <xdr:to>
      <xdr:col>15</xdr:col>
      <xdr:colOff>314325</xdr:colOff>
      <xdr:row>33</xdr:row>
      <xdr:rowOff>0</xdr:rowOff>
    </xdr:to>
    <xdr:graphicFrame macro="">
      <xdr:nvGraphicFramePr>
        <xdr:cNvPr id="8" name="Chart 7">
          <a:extLst>
            <a:ext uri="{FF2B5EF4-FFF2-40B4-BE49-F238E27FC236}">
              <a16:creationId xmlns:a16="http://schemas.microsoft.com/office/drawing/2014/main" id="{D7AB137B-5A97-4BC7-9BD1-371B0EA4C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hiya Nirmaan" refreshedDate="46294.525082060187" createdVersion="8" refreshedVersion="8" minRefreshableVersion="3" recordCount="15" xr:uid="{0E3CD356-6F09-4FAB-81DB-D77C83889DD5}">
  <cacheSource type="worksheet">
    <worksheetSource ref="A2:H17" sheet=" DATA VALIDATION &amp; FILTER"/>
  </cacheSource>
  <cacheFields count="10">
    <cacheField name="DATE" numFmtId="167">
      <sharedItems containsSemiMixedTypes="0" containsNonDate="0" containsDate="1" containsString="0" minDate="2026-01-05T00:00:00" maxDate="2026-03-23T00:00:00" count="15">
        <d v="2026-01-05T00:00:00"/>
        <d v="2026-01-08T00:00:00"/>
        <d v="2026-01-12T00:00:00"/>
        <d v="2026-01-15T00:00:00"/>
        <d v="2026-01-20T00:00:00"/>
        <d v="2026-02-03T00:00:00"/>
        <d v="2026-02-07T00:00:00"/>
        <d v="2026-02-11T00:00:00"/>
        <d v="2026-02-18T00:00:00"/>
        <d v="2026-02-24T00:00:00"/>
        <d v="2026-03-04T00:00:00"/>
        <d v="2026-03-09T00:00:00"/>
        <d v="2026-03-13T00:00:00"/>
        <d v="2026-03-17T00:00:00"/>
        <d v="2026-03-22T00:00:00"/>
      </sharedItems>
      <fieldGroup par="9"/>
    </cacheField>
    <cacheField name="EMPLOYEE" numFmtId="0">
      <sharedItems count="5">
        <s v="Asha"/>
        <s v="Ravi"/>
        <s v="Priya"/>
        <s v="Kiran"/>
        <s v="Meena"/>
      </sharedItems>
    </cacheField>
    <cacheField name="DEPARTMENT" numFmtId="0">
      <sharedItems count="3">
        <s v="Customer Support"/>
        <s v="Sales"/>
        <s v="Technical Support"/>
      </sharedItems>
    </cacheField>
    <cacheField name="LOCATION" numFmtId="0">
      <sharedItems count="3">
        <s v="Chennai"/>
        <s v="Bangalore"/>
        <s v="Hyderabad"/>
      </sharedItems>
    </cacheField>
    <cacheField name="PRODUCT" numFmtId="0">
      <sharedItems count="4">
        <s v="Laptop"/>
        <s v="Monitor"/>
        <s v="Keyboard"/>
        <s v="Mouse"/>
      </sharedItems>
    </cacheField>
    <cacheField name="QUANTITY" numFmtId="0">
      <sharedItems containsSemiMixedTypes="0" containsString="0" containsNumber="1" containsInteger="1" minValue="1" maxValue="25"/>
    </cacheField>
    <cacheField name="UNIT PRICE" numFmtId="168">
      <sharedItems containsSemiMixedTypes="0" containsString="0" containsNumber="1" containsInteger="1" minValue="800" maxValue="45000"/>
    </cacheField>
    <cacheField name="SALES AMOUNT" numFmtId="168">
      <sharedItems containsSemiMixedTypes="0" containsString="0" containsNumber="1" containsInteger="1" minValue="12000" maxValue="135000"/>
    </cacheField>
    <cacheField name="Days (DATE)" numFmtId="0" databaseField="0">
      <fieldGroup base="0">
        <rangePr groupBy="days" startDate="2026-01-05T00:00:00" endDate="2026-03-23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3-2026"/>
        </groupItems>
      </fieldGroup>
    </cacheField>
    <cacheField name="Months (DATE)" numFmtId="0" databaseField="0">
      <fieldGroup base="0">
        <rangePr groupBy="months" startDate="2026-01-05T00:00:00" endDate="2026-03-23T00:00:00"/>
        <groupItems count="14">
          <s v="&lt;05-01-2026"/>
          <s v="Jan"/>
          <s v="Feb"/>
          <s v="Mar"/>
          <s v="Apr"/>
          <s v="May"/>
          <s v="Jun"/>
          <s v="Jul"/>
          <s v="Aug"/>
          <s v="Sep"/>
          <s v="Oct"/>
          <s v="Nov"/>
          <s v="Dec"/>
          <s v="&gt;23-03-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hiya Nirmaan" refreshedDate="46295.477214236111" createdVersion="8" refreshedVersion="8" minRefreshableVersion="3" recordCount="15" xr:uid="{CFF8FBF6-6950-453E-A861-63FDCB6D6B9F}">
  <cacheSource type="worksheet">
    <worksheetSource ref="A2:H17" sheet="SALES DATA"/>
  </cacheSource>
  <cacheFields count="10">
    <cacheField name="DATE" numFmtId="167">
      <sharedItems containsSemiMixedTypes="0" containsNonDate="0" containsDate="1" containsString="0" minDate="2026-01-05T00:00:00" maxDate="2026-03-23T00:00:00" count="15">
        <d v="2026-01-05T00:00:00"/>
        <d v="2026-01-08T00:00:00"/>
        <d v="2026-01-12T00:00:00"/>
        <d v="2026-01-15T00:00:00"/>
        <d v="2026-01-20T00:00:00"/>
        <d v="2026-02-03T00:00:00"/>
        <d v="2026-02-07T00:00:00"/>
        <d v="2026-02-11T00:00:00"/>
        <d v="2026-02-18T00:00:00"/>
        <d v="2026-02-24T00:00:00"/>
        <d v="2026-03-04T00:00:00"/>
        <d v="2026-03-09T00:00:00"/>
        <d v="2026-03-13T00:00:00"/>
        <d v="2026-03-17T00:00:00"/>
        <d v="2026-03-22T00:00:00"/>
      </sharedItems>
      <fieldGroup par="9"/>
    </cacheField>
    <cacheField name="EMPLOYEE" numFmtId="0">
      <sharedItems count="5">
        <s v="Asha"/>
        <s v="Ravi"/>
        <s v="Priya"/>
        <s v="Kiran"/>
        <s v="Meena"/>
      </sharedItems>
    </cacheField>
    <cacheField name="DEPARTMENT" numFmtId="0">
      <sharedItems count="3">
        <s v="Customer Support"/>
        <s v="Sales"/>
        <s v="Technical Support"/>
      </sharedItems>
    </cacheField>
    <cacheField name="LOCATION" numFmtId="0">
      <sharedItems count="3">
        <s v="Chennai"/>
        <s v="Bangalore"/>
        <s v="Hyderabad"/>
      </sharedItems>
    </cacheField>
    <cacheField name="PRODUCT" numFmtId="0">
      <sharedItems count="4">
        <s v="Laptop"/>
        <s v="Monitor"/>
        <s v="Keyboard"/>
        <s v="Mouse"/>
      </sharedItems>
    </cacheField>
    <cacheField name="QUANTITY" numFmtId="0">
      <sharedItems containsSemiMixedTypes="0" containsString="0" containsNumber="1" containsInteger="1" minValue="1" maxValue="25"/>
    </cacheField>
    <cacheField name="UNIT PRICE" numFmtId="168">
      <sharedItems containsSemiMixedTypes="0" containsString="0" containsNumber="1" containsInteger="1" minValue="800" maxValue="45000"/>
    </cacheField>
    <cacheField name="SALES AMOUNT" numFmtId="168">
      <sharedItems containsSemiMixedTypes="0" containsString="0" containsNumber="1" containsInteger="1" minValue="12000" maxValue="135000" count="13">
        <n v="135000"/>
        <n v="60000"/>
        <n v="15000"/>
        <n v="90000"/>
        <n v="12000"/>
        <n v="48000"/>
        <n v="16000"/>
        <n v="18000"/>
        <n v="72000"/>
        <n v="45000"/>
        <n v="20000"/>
        <n v="36000"/>
        <n v="22500"/>
      </sharedItems>
    </cacheField>
    <cacheField name="Days (DATE)" numFmtId="0" databaseField="0">
      <fieldGroup base="0">
        <rangePr groupBy="days" startDate="2026-01-05T00:00:00" endDate="2026-03-23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3-2026"/>
        </groupItems>
      </fieldGroup>
    </cacheField>
    <cacheField name="Months (DATE)" numFmtId="0" databaseField="0">
      <fieldGroup base="0">
        <rangePr groupBy="months" startDate="2026-01-05T00:00:00" endDate="2026-03-23T00:00:00"/>
        <groupItems count="14">
          <s v="&lt;05-01-2026"/>
          <s v="Jan"/>
          <s v="Feb"/>
          <s v="Mar"/>
          <s v="Apr"/>
          <s v="May"/>
          <s v="Jun"/>
          <s v="Jul"/>
          <s v="Aug"/>
          <s v="Sep"/>
          <s v="Oct"/>
          <s v="Nov"/>
          <s v="Dec"/>
          <s v="&gt;23-03-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x v="0"/>
    <n v="3"/>
    <n v="45000"/>
    <n v="135000"/>
  </r>
  <r>
    <x v="1"/>
    <x v="1"/>
    <x v="1"/>
    <x v="1"/>
    <x v="1"/>
    <n v="5"/>
    <n v="12000"/>
    <n v="60000"/>
  </r>
  <r>
    <x v="2"/>
    <x v="2"/>
    <x v="0"/>
    <x v="0"/>
    <x v="2"/>
    <n v="10"/>
    <n v="1500"/>
    <n v="15000"/>
  </r>
  <r>
    <x v="3"/>
    <x v="3"/>
    <x v="2"/>
    <x v="2"/>
    <x v="0"/>
    <n v="2"/>
    <n v="45000"/>
    <n v="90000"/>
  </r>
  <r>
    <x v="4"/>
    <x v="4"/>
    <x v="1"/>
    <x v="0"/>
    <x v="3"/>
    <n v="15"/>
    <n v="800"/>
    <n v="12000"/>
  </r>
  <r>
    <x v="5"/>
    <x v="0"/>
    <x v="0"/>
    <x v="1"/>
    <x v="1"/>
    <n v="4"/>
    <n v="12000"/>
    <n v="48000"/>
  </r>
  <r>
    <x v="6"/>
    <x v="1"/>
    <x v="1"/>
    <x v="0"/>
    <x v="0"/>
    <n v="2"/>
    <n v="45000"/>
    <n v="90000"/>
  </r>
  <r>
    <x v="7"/>
    <x v="2"/>
    <x v="0"/>
    <x v="2"/>
    <x v="3"/>
    <n v="20"/>
    <n v="800"/>
    <n v="16000"/>
  </r>
  <r>
    <x v="8"/>
    <x v="3"/>
    <x v="2"/>
    <x v="1"/>
    <x v="2"/>
    <n v="12"/>
    <n v="1500"/>
    <n v="18000"/>
  </r>
  <r>
    <x v="9"/>
    <x v="4"/>
    <x v="1"/>
    <x v="2"/>
    <x v="1"/>
    <n v="6"/>
    <n v="12000"/>
    <n v="72000"/>
  </r>
  <r>
    <x v="10"/>
    <x v="0"/>
    <x v="0"/>
    <x v="0"/>
    <x v="0"/>
    <n v="1"/>
    <n v="45000"/>
    <n v="45000"/>
  </r>
  <r>
    <x v="11"/>
    <x v="1"/>
    <x v="1"/>
    <x v="1"/>
    <x v="3"/>
    <n v="25"/>
    <n v="800"/>
    <n v="20000"/>
  </r>
  <r>
    <x v="12"/>
    <x v="2"/>
    <x v="0"/>
    <x v="0"/>
    <x v="1"/>
    <n v="3"/>
    <n v="12000"/>
    <n v="36000"/>
  </r>
  <r>
    <x v="13"/>
    <x v="3"/>
    <x v="2"/>
    <x v="2"/>
    <x v="0"/>
    <n v="3"/>
    <n v="45000"/>
    <n v="135000"/>
  </r>
  <r>
    <x v="14"/>
    <x v="4"/>
    <x v="1"/>
    <x v="0"/>
    <x v="2"/>
    <n v="15"/>
    <n v="1500"/>
    <n v="225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x v="0"/>
    <n v="3"/>
    <n v="45000"/>
    <x v="0"/>
  </r>
  <r>
    <x v="1"/>
    <x v="1"/>
    <x v="1"/>
    <x v="1"/>
    <x v="1"/>
    <n v="5"/>
    <n v="12000"/>
    <x v="1"/>
  </r>
  <r>
    <x v="2"/>
    <x v="2"/>
    <x v="0"/>
    <x v="0"/>
    <x v="2"/>
    <n v="10"/>
    <n v="1500"/>
    <x v="2"/>
  </r>
  <r>
    <x v="3"/>
    <x v="3"/>
    <x v="2"/>
    <x v="2"/>
    <x v="0"/>
    <n v="2"/>
    <n v="45000"/>
    <x v="3"/>
  </r>
  <r>
    <x v="4"/>
    <x v="4"/>
    <x v="1"/>
    <x v="0"/>
    <x v="3"/>
    <n v="15"/>
    <n v="800"/>
    <x v="4"/>
  </r>
  <r>
    <x v="5"/>
    <x v="0"/>
    <x v="0"/>
    <x v="1"/>
    <x v="1"/>
    <n v="4"/>
    <n v="12000"/>
    <x v="5"/>
  </r>
  <r>
    <x v="6"/>
    <x v="1"/>
    <x v="1"/>
    <x v="0"/>
    <x v="0"/>
    <n v="2"/>
    <n v="45000"/>
    <x v="3"/>
  </r>
  <r>
    <x v="7"/>
    <x v="2"/>
    <x v="0"/>
    <x v="2"/>
    <x v="3"/>
    <n v="20"/>
    <n v="800"/>
    <x v="6"/>
  </r>
  <r>
    <x v="8"/>
    <x v="3"/>
    <x v="2"/>
    <x v="1"/>
    <x v="2"/>
    <n v="12"/>
    <n v="1500"/>
    <x v="7"/>
  </r>
  <r>
    <x v="9"/>
    <x v="4"/>
    <x v="1"/>
    <x v="2"/>
    <x v="1"/>
    <n v="6"/>
    <n v="12000"/>
    <x v="8"/>
  </r>
  <r>
    <x v="10"/>
    <x v="0"/>
    <x v="0"/>
    <x v="0"/>
    <x v="0"/>
    <n v="1"/>
    <n v="45000"/>
    <x v="9"/>
  </r>
  <r>
    <x v="11"/>
    <x v="1"/>
    <x v="1"/>
    <x v="1"/>
    <x v="3"/>
    <n v="25"/>
    <n v="800"/>
    <x v="10"/>
  </r>
  <r>
    <x v="12"/>
    <x v="2"/>
    <x v="0"/>
    <x v="0"/>
    <x v="1"/>
    <n v="3"/>
    <n v="12000"/>
    <x v="11"/>
  </r>
  <r>
    <x v="13"/>
    <x v="3"/>
    <x v="2"/>
    <x v="2"/>
    <x v="0"/>
    <n v="3"/>
    <n v="45000"/>
    <x v="0"/>
  </r>
  <r>
    <x v="14"/>
    <x v="4"/>
    <x v="1"/>
    <x v="0"/>
    <x v="2"/>
    <n v="15"/>
    <n v="1500"/>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72FB51-3471-4DC2-832E-8B4F450032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34" firstHeaderRow="0" firstDataRow="1" firstDataCol="1"/>
  <pivotFields count="10">
    <pivotField axis="axisRow" numFmtId="167" showAll="0">
      <items count="16">
        <item x="0"/>
        <item x="1"/>
        <item x="2"/>
        <item x="3"/>
        <item x="4"/>
        <item x="5"/>
        <item x="6"/>
        <item x="7"/>
        <item x="8"/>
        <item x="9"/>
        <item x="10"/>
        <item x="11"/>
        <item x="12"/>
        <item x="13"/>
        <item x="14"/>
        <item t="default"/>
      </items>
    </pivotField>
    <pivotField axis="axisRow" showAll="0">
      <items count="6">
        <item x="0"/>
        <item x="3"/>
        <item x="4"/>
        <item x="2"/>
        <item x="1"/>
        <item t="default"/>
      </items>
    </pivotField>
    <pivotField showAll="0">
      <items count="4">
        <item x="0"/>
        <item x="1"/>
        <item x="2"/>
        <item t="default"/>
      </items>
    </pivotField>
    <pivotField showAll="0">
      <items count="4">
        <item x="1"/>
        <item x="0"/>
        <item x="2"/>
        <item t="default"/>
      </items>
    </pivotField>
    <pivotField showAll="0">
      <items count="5">
        <item x="2"/>
        <item x="0"/>
        <item x="1"/>
        <item x="3"/>
        <item t="default"/>
      </items>
    </pivotField>
    <pivotField dataField="1" showAll="0"/>
    <pivotField dataField="1" numFmtId="168" showAll="0"/>
    <pivotField dataField="1" numFmtId="168"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0"/>
    <field x="1"/>
  </rowFields>
  <rowItems count="31">
    <i>
      <x/>
    </i>
    <i r="1">
      <x/>
    </i>
    <i>
      <x v="1"/>
    </i>
    <i r="1">
      <x v="4"/>
    </i>
    <i>
      <x v="2"/>
    </i>
    <i r="1">
      <x v="3"/>
    </i>
    <i>
      <x v="3"/>
    </i>
    <i r="1">
      <x v="1"/>
    </i>
    <i>
      <x v="4"/>
    </i>
    <i r="1">
      <x v="2"/>
    </i>
    <i>
      <x v="5"/>
    </i>
    <i r="1">
      <x/>
    </i>
    <i>
      <x v="6"/>
    </i>
    <i r="1">
      <x v="4"/>
    </i>
    <i>
      <x v="7"/>
    </i>
    <i r="1">
      <x v="3"/>
    </i>
    <i>
      <x v="8"/>
    </i>
    <i r="1">
      <x v="1"/>
    </i>
    <i>
      <x v="9"/>
    </i>
    <i r="1">
      <x v="2"/>
    </i>
    <i>
      <x v="10"/>
    </i>
    <i r="1">
      <x/>
    </i>
    <i>
      <x v="11"/>
    </i>
    <i r="1">
      <x v="4"/>
    </i>
    <i>
      <x v="12"/>
    </i>
    <i r="1">
      <x v="3"/>
    </i>
    <i>
      <x v="13"/>
    </i>
    <i r="1">
      <x v="1"/>
    </i>
    <i>
      <x v="14"/>
    </i>
    <i r="1">
      <x v="2"/>
    </i>
    <i t="grand">
      <x/>
    </i>
  </rowItems>
  <colFields count="1">
    <field x="-2"/>
  </colFields>
  <colItems count="3">
    <i>
      <x/>
    </i>
    <i i="1">
      <x v="1"/>
    </i>
    <i i="2">
      <x v="2"/>
    </i>
  </colItems>
  <dataFields count="3">
    <dataField name="Sum of UNIT PRICE" fld="6" baseField="0" baseItem="0" numFmtId="168"/>
    <dataField name="Sum of SALES AMOUNT" fld="7" baseField="0" baseItem="0" numFmtId="168"/>
    <dataField name="Sum of QUANTITY" fld="5" baseField="0" baseItem="0"/>
  </dataFields>
  <formats count="21">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fieldPosition="0">
        <references count="1">
          <reference field="0" count="0"/>
        </references>
      </pivotArea>
    </format>
    <format dxfId="16">
      <pivotArea dataOnly="0" labelOnly="1" grandRow="1" outline="0" fieldPosition="0"/>
    </format>
    <format dxfId="15">
      <pivotArea dataOnly="0" labelOnly="1" fieldPosition="0">
        <references count="2">
          <reference field="0" count="1" selected="0">
            <x v="0"/>
          </reference>
          <reference field="1" count="1">
            <x v="0"/>
          </reference>
        </references>
      </pivotArea>
    </format>
    <format dxfId="14">
      <pivotArea dataOnly="0" labelOnly="1" fieldPosition="0">
        <references count="2">
          <reference field="0" count="1" selected="0">
            <x v="1"/>
          </reference>
          <reference field="1" count="1">
            <x v="4"/>
          </reference>
        </references>
      </pivotArea>
    </format>
    <format dxfId="13">
      <pivotArea dataOnly="0" labelOnly="1" fieldPosition="0">
        <references count="2">
          <reference field="0" count="1" selected="0">
            <x v="2"/>
          </reference>
          <reference field="1" count="1">
            <x v="3"/>
          </reference>
        </references>
      </pivotArea>
    </format>
    <format dxfId="12">
      <pivotArea dataOnly="0" labelOnly="1" fieldPosition="0">
        <references count="2">
          <reference field="0" count="1" selected="0">
            <x v="3"/>
          </reference>
          <reference field="1" count="1">
            <x v="1"/>
          </reference>
        </references>
      </pivotArea>
    </format>
    <format dxfId="11">
      <pivotArea dataOnly="0" labelOnly="1" fieldPosition="0">
        <references count="2">
          <reference field="0" count="1" selected="0">
            <x v="4"/>
          </reference>
          <reference field="1" count="1">
            <x v="2"/>
          </reference>
        </references>
      </pivotArea>
    </format>
    <format dxfId="10">
      <pivotArea dataOnly="0" labelOnly="1" fieldPosition="0">
        <references count="2">
          <reference field="0" count="1" selected="0">
            <x v="5"/>
          </reference>
          <reference field="1" count="1">
            <x v="0"/>
          </reference>
        </references>
      </pivotArea>
    </format>
    <format dxfId="9">
      <pivotArea dataOnly="0" labelOnly="1" fieldPosition="0">
        <references count="2">
          <reference field="0" count="1" selected="0">
            <x v="6"/>
          </reference>
          <reference field="1" count="1">
            <x v="4"/>
          </reference>
        </references>
      </pivotArea>
    </format>
    <format dxfId="8">
      <pivotArea dataOnly="0" labelOnly="1" fieldPosition="0">
        <references count="2">
          <reference field="0" count="1" selected="0">
            <x v="7"/>
          </reference>
          <reference field="1" count="1">
            <x v="3"/>
          </reference>
        </references>
      </pivotArea>
    </format>
    <format dxfId="7">
      <pivotArea dataOnly="0" labelOnly="1" fieldPosition="0">
        <references count="2">
          <reference field="0" count="1" selected="0">
            <x v="8"/>
          </reference>
          <reference field="1" count="1">
            <x v="1"/>
          </reference>
        </references>
      </pivotArea>
    </format>
    <format dxfId="6">
      <pivotArea dataOnly="0" labelOnly="1" fieldPosition="0">
        <references count="2">
          <reference field="0" count="1" selected="0">
            <x v="9"/>
          </reference>
          <reference field="1" count="1">
            <x v="2"/>
          </reference>
        </references>
      </pivotArea>
    </format>
    <format dxfId="5">
      <pivotArea dataOnly="0" labelOnly="1" fieldPosition="0">
        <references count="2">
          <reference field="0" count="1" selected="0">
            <x v="10"/>
          </reference>
          <reference field="1" count="1">
            <x v="0"/>
          </reference>
        </references>
      </pivotArea>
    </format>
    <format dxfId="4">
      <pivotArea dataOnly="0" labelOnly="1" fieldPosition="0">
        <references count="2">
          <reference field="0" count="1" selected="0">
            <x v="11"/>
          </reference>
          <reference field="1" count="1">
            <x v="4"/>
          </reference>
        </references>
      </pivotArea>
    </format>
    <format dxfId="3">
      <pivotArea dataOnly="0" labelOnly="1" fieldPosition="0">
        <references count="2">
          <reference field="0" count="1" selected="0">
            <x v="12"/>
          </reference>
          <reference field="1" count="1">
            <x v="3"/>
          </reference>
        </references>
      </pivotArea>
    </format>
    <format dxfId="2">
      <pivotArea dataOnly="0" labelOnly="1" fieldPosition="0">
        <references count="2">
          <reference field="0" count="1" selected="0">
            <x v="13"/>
          </reference>
          <reference field="1" count="1">
            <x v="1"/>
          </reference>
        </references>
      </pivotArea>
    </format>
    <format dxfId="1">
      <pivotArea dataOnly="0" labelOnly="1" fieldPosition="0">
        <references count="2">
          <reference field="0" count="1" selected="0">
            <x v="14"/>
          </reference>
          <reference field="1" count="1">
            <x v="2"/>
          </reference>
        </references>
      </pivotArea>
    </format>
    <format dxfId="0">
      <pivotArea dataOnly="0" labelOnly="1" outline="0" fieldPosition="0">
        <references count="1">
          <reference field="4294967294" count="3">
            <x v="0"/>
            <x v="1"/>
            <x v="2"/>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FD62BB-AE12-472D-A19C-7B2C84F6039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0">
    <pivotField numFmtId="167" showAll="0">
      <items count="16">
        <item x="0"/>
        <item x="1"/>
        <item x="2"/>
        <item x="3"/>
        <item x="4"/>
        <item x="5"/>
        <item x="6"/>
        <item x="7"/>
        <item x="8"/>
        <item x="9"/>
        <item x="10"/>
        <item x="11"/>
        <item x="12"/>
        <item x="13"/>
        <item x="14"/>
        <item t="default"/>
      </items>
    </pivotField>
    <pivotField showAll="0">
      <items count="6">
        <item x="0"/>
        <item x="3"/>
        <item x="4"/>
        <item x="2"/>
        <item x="1"/>
        <item t="default"/>
      </items>
    </pivotField>
    <pivotField axis="axisRow" showAll="0">
      <items count="4">
        <item x="0"/>
        <item x="1"/>
        <item x="2"/>
        <item t="default"/>
      </items>
    </pivotField>
    <pivotField showAll="0">
      <items count="4">
        <item x="1"/>
        <item x="0"/>
        <item x="2"/>
        <item t="default"/>
      </items>
    </pivotField>
    <pivotField showAll="0">
      <items count="5">
        <item x="2"/>
        <item x="0"/>
        <item x="1"/>
        <item x="3"/>
        <item t="default"/>
      </items>
    </pivotField>
    <pivotField showAll="0"/>
    <pivotField numFmtId="168" showAll="0"/>
    <pivotField dataField="1" numFmtId="168" showAll="0">
      <items count="14">
        <item x="4"/>
        <item x="2"/>
        <item x="6"/>
        <item x="7"/>
        <item x="10"/>
        <item x="12"/>
        <item x="11"/>
        <item x="9"/>
        <item x="5"/>
        <item x="1"/>
        <item x="8"/>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SALES AMOUNT" fld="7" baseField="0" baseItem="0" numFmtId="168"/>
  </dataFields>
  <chartFormats count="2">
    <chartFormat chart="4" format="6"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E0EA89-B409-4BE0-BB2C-77003FF31CD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
  <location ref="A3:B8" firstHeaderRow="1" firstDataRow="1" firstDataCol="1"/>
  <pivotFields count="10">
    <pivotField numFmtId="167" showAll="0">
      <items count="16">
        <item x="0"/>
        <item x="1"/>
        <item x="2"/>
        <item x="3"/>
        <item x="4"/>
        <item x="5"/>
        <item x="6"/>
        <item x="7"/>
        <item x="8"/>
        <item x="9"/>
        <item x="10"/>
        <item x="11"/>
        <item x="12"/>
        <item x="13"/>
        <item x="14"/>
        <item t="default"/>
      </items>
    </pivotField>
    <pivotField showAll="0"/>
    <pivotField showAll="0"/>
    <pivotField showAll="0"/>
    <pivotField axis="axisRow" showAll="0">
      <items count="5">
        <item x="2"/>
        <item x="0"/>
        <item x="1"/>
        <item x="3"/>
        <item t="default"/>
      </items>
    </pivotField>
    <pivotField showAll="0"/>
    <pivotField dataField="1" numFmtId="168" showAll="0"/>
    <pivotField numFmtId="168"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UNIT PRICE" fld="6" baseField="0" baseItem="0" numFmtId="168"/>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89CAED-A41A-4021-8389-DBE2D728E89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0">
    <pivotField numFmtId="167" showAll="0">
      <items count="16">
        <item x="0"/>
        <item x="1"/>
        <item x="2"/>
        <item x="3"/>
        <item x="4"/>
        <item x="5"/>
        <item x="6"/>
        <item x="7"/>
        <item x="8"/>
        <item x="9"/>
        <item x="10"/>
        <item x="11"/>
        <item x="12"/>
        <item x="13"/>
        <item x="14"/>
        <item t="default"/>
      </items>
    </pivotField>
    <pivotField showAll="0"/>
    <pivotField showAll="0"/>
    <pivotField axis="axisRow" showAll="0">
      <items count="4">
        <item x="1"/>
        <item x="0"/>
        <item x="2"/>
        <item t="default"/>
      </items>
    </pivotField>
    <pivotField showAll="0"/>
    <pivotField dataField="1" showAll="0"/>
    <pivotField numFmtId="168" showAll="0"/>
    <pivotField numFmtId="168"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67EB89-44BB-4553-8B5C-2F108454339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0">
    <pivotField numFmtId="167" showAll="0">
      <items count="16">
        <item x="0"/>
        <item x="1"/>
        <item x="2"/>
        <item x="3"/>
        <item x="4"/>
        <item x="5"/>
        <item x="6"/>
        <item x="7"/>
        <item x="8"/>
        <item x="9"/>
        <item x="10"/>
        <item x="11"/>
        <item x="12"/>
        <item x="13"/>
        <item x="14"/>
        <item t="default"/>
      </items>
    </pivotField>
    <pivotField axis="axisRow" showAll="0">
      <items count="6">
        <item x="0"/>
        <item x="3"/>
        <item x="4"/>
        <item x="2"/>
        <item x="1"/>
        <item t="default"/>
      </items>
    </pivotField>
    <pivotField showAll="0"/>
    <pivotField showAll="0"/>
    <pivotField showAll="0"/>
    <pivotField showAll="0"/>
    <pivotField numFmtId="168" showAll="0"/>
    <pivotField dataField="1" numFmtId="168"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Sum of SALES AMOUNT" fld="7" baseField="0" baseItem="0" numFmtId="168"/>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7F76FF-E675-4CA7-8A15-55F894B03BA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0">
    <pivotField numFmtId="167" showAll="0">
      <items count="16">
        <item x="0"/>
        <item x="1"/>
        <item x="2"/>
        <item x="3"/>
        <item x="4"/>
        <item x="5"/>
        <item x="6"/>
        <item x="7"/>
        <item x="8"/>
        <item x="9"/>
        <item x="10"/>
        <item x="11"/>
        <item x="12"/>
        <item x="13"/>
        <item x="14"/>
        <item t="default"/>
      </items>
    </pivotField>
    <pivotField showAll="0"/>
    <pivotField showAll="0"/>
    <pivotField showAll="0"/>
    <pivotField showAll="0"/>
    <pivotField showAll="0"/>
    <pivotField numFmtId="168" showAll="0"/>
    <pivotField dataField="1" numFmtId="168"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8"/>
  </rowFields>
  <rowItems count="4">
    <i>
      <x v="1"/>
    </i>
    <i>
      <x v="2"/>
    </i>
    <i>
      <x v="3"/>
    </i>
    <i t="grand">
      <x/>
    </i>
  </rowItems>
  <colItems count="1">
    <i/>
  </colItems>
  <dataFields count="1">
    <dataField name="Sum of SALES AMOUNT" fld="7" baseField="0" baseItem="0" numFmtId="168"/>
  </dataField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9" count="1" selected="0">
            <x v="1"/>
          </reference>
        </references>
      </pivotArea>
    </chartFormat>
    <chartFormat chart="2" format="3">
      <pivotArea type="data" outline="0" fieldPosition="0">
        <references count="2">
          <reference field="4294967294" count="1" selected="0">
            <x v="0"/>
          </reference>
          <reference field="9" count="1" selected="0">
            <x v="2"/>
          </reference>
        </references>
      </pivotArea>
    </chartFormat>
    <chartFormat chart="2" format="4">
      <pivotArea type="data" outline="0" fieldPosition="0">
        <references count="2">
          <reference field="4294967294" count="1" selected="0">
            <x v="0"/>
          </reference>
          <reference field="9" count="1" selected="0">
            <x v="3"/>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1"/>
          </reference>
        </references>
      </pivotArea>
    </chartFormat>
    <chartFormat chart="3" format="7">
      <pivotArea type="data" outline="0" fieldPosition="0">
        <references count="2">
          <reference field="4294967294" count="1" selected="0">
            <x v="0"/>
          </reference>
          <reference field="9" count="1" selected="0">
            <x v="2"/>
          </reference>
        </references>
      </pivotArea>
    </chartFormat>
    <chartFormat chart="3" format="8">
      <pivotArea type="data" outline="0" fieldPosition="0">
        <references count="2">
          <reference field="4294967294" count="1" selected="0">
            <x v="0"/>
          </reference>
          <reference field="9" count="1" selected="0">
            <x v="3"/>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9D9E2D-6499-482B-9CCF-7C8338E48E9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8" firstHeaderRow="1" firstDataRow="2" firstDataCol="1"/>
  <pivotFields count="10">
    <pivotField numFmtId="167" showAll="0">
      <items count="16">
        <item x="0"/>
        <item x="1"/>
        <item x="2"/>
        <item x="3"/>
        <item x="4"/>
        <item x="5"/>
        <item x="6"/>
        <item x="7"/>
        <item x="8"/>
        <item x="9"/>
        <item x="10"/>
        <item x="11"/>
        <item x="12"/>
        <item x="13"/>
        <item x="14"/>
        <item t="default"/>
      </items>
    </pivotField>
    <pivotField showAll="0"/>
    <pivotField axis="axisRow" showAll="0">
      <items count="4">
        <item x="0"/>
        <item x="1"/>
        <item x="2"/>
        <item t="default"/>
      </items>
    </pivotField>
    <pivotField showAll="0"/>
    <pivotField axis="axisCol" showAll="0">
      <items count="5">
        <item x="2"/>
        <item x="0"/>
        <item x="1"/>
        <item x="3"/>
        <item t="default"/>
      </items>
    </pivotField>
    <pivotField dataField="1" showAll="0"/>
    <pivotField numFmtId="168" showAll="0"/>
    <pivotField numFmtId="168"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Fields count="1">
    <field x="4"/>
  </colFields>
  <colItems count="5">
    <i>
      <x/>
    </i>
    <i>
      <x v="1"/>
    </i>
    <i>
      <x v="2"/>
    </i>
    <i>
      <x v="3"/>
    </i>
    <i t="grand">
      <x/>
    </i>
  </colItems>
  <dataFields count="1">
    <dataField name="Sum of QUANTITY" fld="5" baseField="0" baseItem="0"/>
  </dataFields>
  <chartFormats count="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3" format="8" series="1">
      <pivotArea type="data" outline="0" fieldPosition="0">
        <references count="2">
          <reference field="4294967294" count="1" selected="0">
            <x v="0"/>
          </reference>
          <reference field="4" count="1" selected="0">
            <x v="0"/>
          </reference>
        </references>
      </pivotArea>
    </chartFormat>
    <chartFormat chart="3" format="9" series="1">
      <pivotArea type="data" outline="0" fieldPosition="0">
        <references count="2">
          <reference field="4294967294" count="1" selected="0">
            <x v="0"/>
          </reference>
          <reference field="4" count="1" selected="0">
            <x v="1"/>
          </reference>
        </references>
      </pivotArea>
    </chartFormat>
    <chartFormat chart="3" format="10" series="1">
      <pivotArea type="data" outline="0" fieldPosition="0">
        <references count="2">
          <reference field="4294967294" count="1" selected="0">
            <x v="0"/>
          </reference>
          <reference field="4" count="1" selected="0">
            <x v="2"/>
          </reference>
        </references>
      </pivotArea>
    </chartFormat>
    <chartFormat chart="3" format="1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873EE-35DE-46DE-A4DD-B1817F9194DE}">
  <dimension ref="A1:H14"/>
  <sheetViews>
    <sheetView workbookViewId="0">
      <selection activeCell="H25" sqref="H25"/>
    </sheetView>
  </sheetViews>
  <sheetFormatPr defaultRowHeight="15"/>
  <cols>
    <col min="2" max="2" width="17.28515625" customWidth="1"/>
    <col min="3" max="3" width="15.85546875" customWidth="1"/>
    <col min="4" max="4" width="13" customWidth="1"/>
    <col min="5" max="5" width="10" customWidth="1"/>
    <col min="6" max="6" width="21" customWidth="1"/>
    <col min="7" max="7" width="10" customWidth="1"/>
    <col min="8" max="8" width="24.42578125" customWidth="1"/>
  </cols>
  <sheetData>
    <row r="1" spans="1:8" ht="18.75">
      <c r="A1" s="104" t="s">
        <v>113</v>
      </c>
      <c r="B1" s="105"/>
      <c r="C1" s="105"/>
      <c r="D1" s="105"/>
      <c r="E1" s="105"/>
      <c r="F1" s="105"/>
      <c r="G1" s="105"/>
      <c r="H1" s="105"/>
    </row>
    <row r="2" spans="1:8" ht="15.75">
      <c r="A2" s="17" t="s">
        <v>114</v>
      </c>
      <c r="B2" s="17" t="s">
        <v>115</v>
      </c>
      <c r="C2" s="17" t="s">
        <v>116</v>
      </c>
      <c r="D2" s="17" t="s">
        <v>117</v>
      </c>
      <c r="E2" s="17" t="s">
        <v>118</v>
      </c>
      <c r="F2" s="17" t="s">
        <v>119</v>
      </c>
      <c r="G2" s="17" t="s">
        <v>120</v>
      </c>
      <c r="H2" s="17" t="s">
        <v>121</v>
      </c>
    </row>
    <row r="3" spans="1:8">
      <c r="A3" s="1">
        <v>1</v>
      </c>
      <c r="B3" s="1" t="s">
        <v>122</v>
      </c>
      <c r="C3" s="1">
        <v>25000</v>
      </c>
      <c r="D3" s="1">
        <f>C3*10%</f>
        <v>2500</v>
      </c>
      <c r="E3" s="18">
        <f>C3*15%</f>
        <v>3750</v>
      </c>
      <c r="F3" s="1">
        <f>SUM(C3:E3)</f>
        <v>31250</v>
      </c>
      <c r="G3" s="1">
        <f>C3*5%</f>
        <v>1250</v>
      </c>
      <c r="H3" s="1">
        <f>F3-G3</f>
        <v>30000</v>
      </c>
    </row>
    <row r="4" spans="1:8">
      <c r="A4" s="1">
        <v>2</v>
      </c>
      <c r="B4" s="1" t="s">
        <v>108</v>
      </c>
      <c r="C4" s="1">
        <v>24500</v>
      </c>
      <c r="D4" s="1">
        <f t="shared" ref="D4:D14" si="0">C4*10%</f>
        <v>2450</v>
      </c>
      <c r="E4" s="18">
        <f t="shared" ref="E4:E14" si="1">C4*15%</f>
        <v>3675</v>
      </c>
      <c r="F4" s="1">
        <f t="shared" ref="F4:F14" si="2">SUM(C4:E4)</f>
        <v>30625</v>
      </c>
      <c r="G4" s="1">
        <f t="shared" ref="G4:G14" si="3">C4*5%</f>
        <v>1225</v>
      </c>
      <c r="H4" s="1">
        <f t="shared" ref="H4:H14" si="4">F4-G4</f>
        <v>29400</v>
      </c>
    </row>
    <row r="5" spans="1:8">
      <c r="A5" s="1">
        <v>3</v>
      </c>
      <c r="B5" s="1" t="s">
        <v>123</v>
      </c>
      <c r="C5" s="1">
        <v>24000</v>
      </c>
      <c r="D5" s="1">
        <f t="shared" si="0"/>
        <v>2400</v>
      </c>
      <c r="E5" s="18">
        <f t="shared" si="1"/>
        <v>3600</v>
      </c>
      <c r="F5" s="1">
        <f t="shared" si="2"/>
        <v>30000</v>
      </c>
      <c r="G5" s="1">
        <f t="shared" si="3"/>
        <v>1200</v>
      </c>
      <c r="H5" s="1">
        <f t="shared" si="4"/>
        <v>28800</v>
      </c>
    </row>
    <row r="6" spans="1:8">
      <c r="A6" s="1">
        <v>4</v>
      </c>
      <c r="B6" s="1" t="s">
        <v>124</v>
      </c>
      <c r="C6" s="1">
        <v>23500</v>
      </c>
      <c r="D6" s="1">
        <f t="shared" si="0"/>
        <v>2350</v>
      </c>
      <c r="E6" s="18">
        <f t="shared" si="1"/>
        <v>3525</v>
      </c>
      <c r="F6" s="1">
        <f t="shared" si="2"/>
        <v>29375</v>
      </c>
      <c r="G6" s="1">
        <f t="shared" si="3"/>
        <v>1175</v>
      </c>
      <c r="H6" s="1">
        <f t="shared" si="4"/>
        <v>28200</v>
      </c>
    </row>
    <row r="7" spans="1:8">
      <c r="A7" s="1">
        <v>5</v>
      </c>
      <c r="B7" s="1" t="s">
        <v>125</v>
      </c>
      <c r="C7" s="1">
        <v>23000</v>
      </c>
      <c r="D7" s="1">
        <f t="shared" si="0"/>
        <v>2300</v>
      </c>
      <c r="E7" s="18">
        <f t="shared" si="1"/>
        <v>3450</v>
      </c>
      <c r="F7" s="1">
        <f t="shared" si="2"/>
        <v>28750</v>
      </c>
      <c r="G7" s="1">
        <f t="shared" si="3"/>
        <v>1150</v>
      </c>
      <c r="H7" s="1">
        <f t="shared" si="4"/>
        <v>27600</v>
      </c>
    </row>
    <row r="8" spans="1:8">
      <c r="A8" s="1">
        <v>6</v>
      </c>
      <c r="B8" s="1" t="s">
        <v>106</v>
      </c>
      <c r="C8" s="1">
        <v>22500</v>
      </c>
      <c r="D8" s="1">
        <f t="shared" si="0"/>
        <v>2250</v>
      </c>
      <c r="E8" s="18">
        <f t="shared" si="1"/>
        <v>3375</v>
      </c>
      <c r="F8" s="1">
        <f t="shared" si="2"/>
        <v>28125</v>
      </c>
      <c r="G8" s="1">
        <f t="shared" si="3"/>
        <v>1125</v>
      </c>
      <c r="H8" s="1">
        <f t="shared" si="4"/>
        <v>27000</v>
      </c>
    </row>
    <row r="9" spans="1:8">
      <c r="A9" s="1">
        <v>7</v>
      </c>
      <c r="B9" s="1" t="s">
        <v>126</v>
      </c>
      <c r="C9" s="1">
        <v>22000</v>
      </c>
      <c r="D9" s="1">
        <f t="shared" si="0"/>
        <v>2200</v>
      </c>
      <c r="E9" s="18">
        <f t="shared" si="1"/>
        <v>3300</v>
      </c>
      <c r="F9" s="1">
        <f t="shared" si="2"/>
        <v>27500</v>
      </c>
      <c r="G9" s="1">
        <f t="shared" si="3"/>
        <v>1100</v>
      </c>
      <c r="H9" s="1">
        <f t="shared" si="4"/>
        <v>26400</v>
      </c>
    </row>
    <row r="10" spans="1:8">
      <c r="A10" s="1">
        <v>8</v>
      </c>
      <c r="B10" s="1" t="s">
        <v>127</v>
      </c>
      <c r="C10" s="1">
        <v>21500</v>
      </c>
      <c r="D10" s="1">
        <f t="shared" si="0"/>
        <v>2150</v>
      </c>
      <c r="E10" s="18">
        <f t="shared" si="1"/>
        <v>3225</v>
      </c>
      <c r="F10" s="1">
        <f t="shared" si="2"/>
        <v>26875</v>
      </c>
      <c r="G10" s="1">
        <f t="shared" si="3"/>
        <v>1075</v>
      </c>
      <c r="H10" s="1">
        <f t="shared" si="4"/>
        <v>25800</v>
      </c>
    </row>
    <row r="11" spans="1:8">
      <c r="A11" s="1">
        <v>9</v>
      </c>
      <c r="B11" s="1" t="s">
        <v>128</v>
      </c>
      <c r="C11" s="1">
        <v>21000</v>
      </c>
      <c r="D11" s="1">
        <f t="shared" si="0"/>
        <v>2100</v>
      </c>
      <c r="E11" s="18">
        <f t="shared" si="1"/>
        <v>3150</v>
      </c>
      <c r="F11" s="1">
        <f t="shared" si="2"/>
        <v>26250</v>
      </c>
      <c r="G11" s="1">
        <f t="shared" si="3"/>
        <v>1050</v>
      </c>
      <c r="H11" s="1">
        <f t="shared" si="4"/>
        <v>25200</v>
      </c>
    </row>
    <row r="12" spans="1:8">
      <c r="A12" s="1">
        <v>10</v>
      </c>
      <c r="B12" s="1" t="s">
        <v>129</v>
      </c>
      <c r="C12" s="1">
        <v>20500</v>
      </c>
      <c r="D12" s="1">
        <f t="shared" si="0"/>
        <v>2050</v>
      </c>
      <c r="E12" s="18">
        <f t="shared" si="1"/>
        <v>3075</v>
      </c>
      <c r="F12" s="1">
        <f t="shared" si="2"/>
        <v>25625</v>
      </c>
      <c r="G12" s="1">
        <f t="shared" si="3"/>
        <v>1025</v>
      </c>
      <c r="H12" s="1">
        <f t="shared" si="4"/>
        <v>24600</v>
      </c>
    </row>
    <row r="13" spans="1:8">
      <c r="A13" s="1">
        <v>11</v>
      </c>
      <c r="B13" s="1" t="s">
        <v>130</v>
      </c>
      <c r="C13" s="1">
        <v>20000</v>
      </c>
      <c r="D13" s="1">
        <f t="shared" si="0"/>
        <v>2000</v>
      </c>
      <c r="E13" s="18">
        <f t="shared" si="1"/>
        <v>3000</v>
      </c>
      <c r="F13" s="1">
        <f t="shared" si="2"/>
        <v>25000</v>
      </c>
      <c r="G13" s="1">
        <f t="shared" si="3"/>
        <v>1000</v>
      </c>
      <c r="H13" s="1">
        <f t="shared" si="4"/>
        <v>24000</v>
      </c>
    </row>
    <row r="14" spans="1:8">
      <c r="A14" s="1">
        <v>12</v>
      </c>
      <c r="B14" s="1" t="s">
        <v>5</v>
      </c>
      <c r="C14" s="1">
        <v>25500</v>
      </c>
      <c r="D14" s="1">
        <f t="shared" si="0"/>
        <v>2550</v>
      </c>
      <c r="E14" s="18">
        <f t="shared" si="1"/>
        <v>3825</v>
      </c>
      <c r="F14" s="1">
        <f t="shared" si="2"/>
        <v>31875</v>
      </c>
      <c r="G14" s="1">
        <f t="shared" si="3"/>
        <v>1275</v>
      </c>
      <c r="H14" s="1">
        <f t="shared" si="4"/>
        <v>30600</v>
      </c>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B43B-DC8D-4C16-A857-4F1C3F910AA6}">
  <dimension ref="A1:H32"/>
  <sheetViews>
    <sheetView workbookViewId="0">
      <selection activeCell="E29" sqref="E29"/>
    </sheetView>
  </sheetViews>
  <sheetFormatPr defaultRowHeight="15"/>
  <cols>
    <col min="2" max="2" width="21.28515625" customWidth="1"/>
    <col min="3" max="3" width="17.7109375" customWidth="1"/>
    <col min="4" max="4" width="10.85546875" customWidth="1"/>
    <col min="5" max="5" width="11.5703125" customWidth="1"/>
    <col min="6" max="6" width="18.5703125" customWidth="1"/>
    <col min="7" max="7" width="10.28515625" customWidth="1"/>
    <col min="8" max="8" width="23.85546875" customWidth="1"/>
  </cols>
  <sheetData>
    <row r="1" spans="1:8" ht="18.75">
      <c r="A1" s="106" t="s">
        <v>113</v>
      </c>
      <c r="B1" s="107"/>
      <c r="C1" s="107"/>
      <c r="D1" s="107"/>
      <c r="E1" s="107"/>
      <c r="F1" s="107"/>
      <c r="G1" s="107"/>
      <c r="H1" s="107"/>
    </row>
    <row r="2" spans="1:8" ht="15.75">
      <c r="A2" s="17" t="s">
        <v>114</v>
      </c>
      <c r="B2" s="17" t="s">
        <v>115</v>
      </c>
      <c r="C2" s="17" t="s">
        <v>116</v>
      </c>
      <c r="D2" s="17" t="s">
        <v>117</v>
      </c>
      <c r="E2" s="17" t="s">
        <v>118</v>
      </c>
      <c r="F2" s="17" t="s">
        <v>119</v>
      </c>
      <c r="G2" s="17" t="s">
        <v>120</v>
      </c>
      <c r="H2" s="17" t="s">
        <v>121</v>
      </c>
    </row>
    <row r="3" spans="1:8">
      <c r="A3" s="1">
        <v>1</v>
      </c>
      <c r="B3" s="1" t="s">
        <v>122</v>
      </c>
      <c r="C3" s="1">
        <v>25000</v>
      </c>
      <c r="D3" s="1">
        <f>C3*10%</f>
        <v>2500</v>
      </c>
      <c r="E3" s="18">
        <f>C3*15%</f>
        <v>3750</v>
      </c>
      <c r="F3" s="1">
        <f>SUM(C3:E3)</f>
        <v>31250</v>
      </c>
      <c r="G3" s="1">
        <f>C3*5%</f>
        <v>1250</v>
      </c>
      <c r="H3" s="1">
        <f>F3-G3</f>
        <v>30000</v>
      </c>
    </row>
    <row r="4" spans="1:8">
      <c r="A4" s="1">
        <v>2</v>
      </c>
      <c r="B4" s="1" t="s">
        <v>108</v>
      </c>
      <c r="C4" s="1">
        <v>24500</v>
      </c>
      <c r="D4" s="1">
        <f t="shared" ref="D4:D32" si="0">C4*10%</f>
        <v>2450</v>
      </c>
      <c r="E4" s="18">
        <f t="shared" ref="E4:E32" si="1">C4*15%</f>
        <v>3675</v>
      </c>
      <c r="F4" s="1">
        <f t="shared" ref="F4:F32" si="2">SUM(C4:E4)</f>
        <v>30625</v>
      </c>
      <c r="G4" s="1">
        <f t="shared" ref="G4:G32" si="3">C4*5%</f>
        <v>1225</v>
      </c>
      <c r="H4" s="1">
        <f t="shared" ref="H4:H32" si="4">F4-G4</f>
        <v>29400</v>
      </c>
    </row>
    <row r="5" spans="1:8">
      <c r="A5" s="1">
        <v>3</v>
      </c>
      <c r="B5" s="1" t="s">
        <v>123</v>
      </c>
      <c r="C5" s="1">
        <v>24000</v>
      </c>
      <c r="D5" s="1">
        <f t="shared" si="0"/>
        <v>2400</v>
      </c>
      <c r="E5" s="18">
        <f t="shared" si="1"/>
        <v>3600</v>
      </c>
      <c r="F5" s="1">
        <f t="shared" si="2"/>
        <v>30000</v>
      </c>
      <c r="G5" s="1">
        <f t="shared" si="3"/>
        <v>1200</v>
      </c>
      <c r="H5" s="1">
        <f t="shared" si="4"/>
        <v>28800</v>
      </c>
    </row>
    <row r="6" spans="1:8">
      <c r="A6" s="1">
        <v>4</v>
      </c>
      <c r="B6" s="1" t="s">
        <v>124</v>
      </c>
      <c r="C6" s="1">
        <v>23500</v>
      </c>
      <c r="D6" s="1">
        <f t="shared" si="0"/>
        <v>2350</v>
      </c>
      <c r="E6" s="18">
        <f t="shared" si="1"/>
        <v>3525</v>
      </c>
      <c r="F6" s="1">
        <f t="shared" si="2"/>
        <v>29375</v>
      </c>
      <c r="G6" s="1">
        <f t="shared" si="3"/>
        <v>1175</v>
      </c>
      <c r="H6" s="1">
        <f t="shared" si="4"/>
        <v>28200</v>
      </c>
    </row>
    <row r="7" spans="1:8">
      <c r="A7" s="1">
        <v>5</v>
      </c>
      <c r="B7" s="1" t="s">
        <v>125</v>
      </c>
      <c r="C7" s="1">
        <v>23000</v>
      </c>
      <c r="D7" s="1">
        <f t="shared" si="0"/>
        <v>2300</v>
      </c>
      <c r="E7" s="18">
        <f t="shared" si="1"/>
        <v>3450</v>
      </c>
      <c r="F7" s="1">
        <f t="shared" si="2"/>
        <v>28750</v>
      </c>
      <c r="G7" s="1">
        <f t="shared" si="3"/>
        <v>1150</v>
      </c>
      <c r="H7" s="1">
        <f t="shared" si="4"/>
        <v>27600</v>
      </c>
    </row>
    <row r="8" spans="1:8">
      <c r="A8" s="1">
        <v>6</v>
      </c>
      <c r="B8" s="1" t="s">
        <v>106</v>
      </c>
      <c r="C8" s="1">
        <v>22500</v>
      </c>
      <c r="D8" s="1">
        <f t="shared" si="0"/>
        <v>2250</v>
      </c>
      <c r="E8" s="18">
        <f t="shared" si="1"/>
        <v>3375</v>
      </c>
      <c r="F8" s="1">
        <f t="shared" si="2"/>
        <v>28125</v>
      </c>
      <c r="G8" s="1">
        <f t="shared" si="3"/>
        <v>1125</v>
      </c>
      <c r="H8" s="1">
        <f t="shared" si="4"/>
        <v>27000</v>
      </c>
    </row>
    <row r="9" spans="1:8">
      <c r="A9" s="1">
        <v>7</v>
      </c>
      <c r="B9" s="1" t="s">
        <v>126</v>
      </c>
      <c r="C9" s="1">
        <v>22000</v>
      </c>
      <c r="D9" s="1">
        <f t="shared" si="0"/>
        <v>2200</v>
      </c>
      <c r="E9" s="18">
        <f t="shared" si="1"/>
        <v>3300</v>
      </c>
      <c r="F9" s="1">
        <f t="shared" si="2"/>
        <v>27500</v>
      </c>
      <c r="G9" s="1">
        <f t="shared" si="3"/>
        <v>1100</v>
      </c>
      <c r="H9" s="1">
        <f t="shared" si="4"/>
        <v>26400</v>
      </c>
    </row>
    <row r="10" spans="1:8">
      <c r="A10" s="1">
        <v>8</v>
      </c>
      <c r="B10" s="1" t="s">
        <v>127</v>
      </c>
      <c r="C10" s="1">
        <v>21500</v>
      </c>
      <c r="D10" s="1">
        <f t="shared" si="0"/>
        <v>2150</v>
      </c>
      <c r="E10" s="18">
        <f t="shared" si="1"/>
        <v>3225</v>
      </c>
      <c r="F10" s="1">
        <f t="shared" si="2"/>
        <v>26875</v>
      </c>
      <c r="G10" s="1">
        <f t="shared" si="3"/>
        <v>1075</v>
      </c>
      <c r="H10" s="1">
        <f t="shared" si="4"/>
        <v>25800</v>
      </c>
    </row>
    <row r="11" spans="1:8">
      <c r="A11" s="1">
        <v>9</v>
      </c>
      <c r="B11" s="1" t="s">
        <v>128</v>
      </c>
      <c r="C11" s="1">
        <v>21000</v>
      </c>
      <c r="D11" s="1">
        <f t="shared" si="0"/>
        <v>2100</v>
      </c>
      <c r="E11" s="18">
        <f t="shared" si="1"/>
        <v>3150</v>
      </c>
      <c r="F11" s="1">
        <f t="shared" si="2"/>
        <v>26250</v>
      </c>
      <c r="G11" s="1">
        <f t="shared" si="3"/>
        <v>1050</v>
      </c>
      <c r="H11" s="1">
        <f t="shared" si="4"/>
        <v>25200</v>
      </c>
    </row>
    <row r="12" spans="1:8">
      <c r="A12" s="1">
        <v>10</v>
      </c>
      <c r="B12" s="1" t="s">
        <v>129</v>
      </c>
      <c r="C12" s="1">
        <v>20500</v>
      </c>
      <c r="D12" s="1">
        <f t="shared" si="0"/>
        <v>2050</v>
      </c>
      <c r="E12" s="18">
        <f t="shared" si="1"/>
        <v>3075</v>
      </c>
      <c r="F12" s="1">
        <f t="shared" si="2"/>
        <v>25625</v>
      </c>
      <c r="G12" s="1">
        <f t="shared" si="3"/>
        <v>1025</v>
      </c>
      <c r="H12" s="1">
        <f t="shared" si="4"/>
        <v>24600</v>
      </c>
    </row>
    <row r="13" spans="1:8">
      <c r="A13" s="1">
        <v>11</v>
      </c>
      <c r="B13" s="1" t="s">
        <v>130</v>
      </c>
      <c r="C13" s="1">
        <v>20000</v>
      </c>
      <c r="D13" s="1">
        <f t="shared" si="0"/>
        <v>2000</v>
      </c>
      <c r="E13" s="18">
        <f t="shared" si="1"/>
        <v>3000</v>
      </c>
      <c r="F13" s="1">
        <f t="shared" si="2"/>
        <v>25000</v>
      </c>
      <c r="G13" s="1">
        <f t="shared" si="3"/>
        <v>1000</v>
      </c>
      <c r="H13" s="1">
        <f t="shared" si="4"/>
        <v>24000</v>
      </c>
    </row>
    <row r="14" spans="1:8">
      <c r="A14" s="1">
        <v>12</v>
      </c>
      <c r="B14" s="1" t="s">
        <v>5</v>
      </c>
      <c r="C14" s="1">
        <v>25500</v>
      </c>
      <c r="D14" s="1">
        <f t="shared" si="0"/>
        <v>2550</v>
      </c>
      <c r="E14" s="18">
        <f t="shared" si="1"/>
        <v>3825</v>
      </c>
      <c r="F14" s="1">
        <f t="shared" si="2"/>
        <v>31875</v>
      </c>
      <c r="G14" s="1">
        <f t="shared" si="3"/>
        <v>1275</v>
      </c>
      <c r="H14" s="1">
        <f t="shared" si="4"/>
        <v>30600</v>
      </c>
    </row>
    <row r="15" spans="1:8">
      <c r="A15" s="1">
        <v>13</v>
      </c>
      <c r="B15" s="1" t="s">
        <v>131</v>
      </c>
      <c r="C15" s="1">
        <v>30000</v>
      </c>
      <c r="D15" s="1">
        <f t="shared" si="0"/>
        <v>3000</v>
      </c>
      <c r="E15" s="18">
        <f t="shared" si="1"/>
        <v>4500</v>
      </c>
      <c r="F15" s="1">
        <f t="shared" si="2"/>
        <v>37500</v>
      </c>
      <c r="G15" s="1">
        <f t="shared" si="3"/>
        <v>1500</v>
      </c>
      <c r="H15" s="1">
        <f t="shared" si="4"/>
        <v>36000</v>
      </c>
    </row>
    <row r="16" spans="1:8">
      <c r="A16" s="1">
        <v>14</v>
      </c>
      <c r="B16" s="1" t="s">
        <v>60</v>
      </c>
      <c r="C16" s="1">
        <v>32000</v>
      </c>
      <c r="D16" s="1">
        <f t="shared" si="0"/>
        <v>3200</v>
      </c>
      <c r="E16" s="18">
        <f t="shared" si="1"/>
        <v>4800</v>
      </c>
      <c r="F16" s="1">
        <f t="shared" si="2"/>
        <v>40000</v>
      </c>
      <c r="G16" s="1">
        <f t="shared" si="3"/>
        <v>1600</v>
      </c>
      <c r="H16" s="1">
        <f t="shared" si="4"/>
        <v>38400</v>
      </c>
    </row>
    <row r="17" spans="1:8">
      <c r="A17" s="1">
        <v>15</v>
      </c>
      <c r="B17" s="1" t="s">
        <v>132</v>
      </c>
      <c r="C17" s="1">
        <v>35000</v>
      </c>
      <c r="D17" s="1">
        <f t="shared" si="0"/>
        <v>3500</v>
      </c>
      <c r="E17" s="18">
        <f t="shared" si="1"/>
        <v>5250</v>
      </c>
      <c r="F17" s="1">
        <f t="shared" si="2"/>
        <v>43750</v>
      </c>
      <c r="G17" s="1">
        <f t="shared" si="3"/>
        <v>1750</v>
      </c>
      <c r="H17" s="1">
        <f t="shared" si="4"/>
        <v>42000</v>
      </c>
    </row>
    <row r="18" spans="1:8">
      <c r="A18" s="1">
        <v>16</v>
      </c>
      <c r="B18" s="1" t="s">
        <v>133</v>
      </c>
      <c r="C18" s="1">
        <v>36000</v>
      </c>
      <c r="D18" s="1">
        <f t="shared" si="0"/>
        <v>3600</v>
      </c>
      <c r="E18" s="18">
        <f t="shared" si="1"/>
        <v>5400</v>
      </c>
      <c r="F18" s="1">
        <f t="shared" si="2"/>
        <v>45000</v>
      </c>
      <c r="G18" s="1">
        <f t="shared" si="3"/>
        <v>1800</v>
      </c>
      <c r="H18" s="1">
        <f t="shared" si="4"/>
        <v>43200</v>
      </c>
    </row>
    <row r="19" spans="1:8">
      <c r="A19" s="1">
        <v>17</v>
      </c>
      <c r="B19" s="1" t="s">
        <v>134</v>
      </c>
      <c r="C19" s="1">
        <v>38000</v>
      </c>
      <c r="D19" s="1">
        <f t="shared" si="0"/>
        <v>3800</v>
      </c>
      <c r="E19" s="18">
        <f t="shared" si="1"/>
        <v>5700</v>
      </c>
      <c r="F19" s="1">
        <f t="shared" si="2"/>
        <v>47500</v>
      </c>
      <c r="G19" s="1">
        <f t="shared" si="3"/>
        <v>1900</v>
      </c>
      <c r="H19" s="1">
        <f t="shared" si="4"/>
        <v>45600</v>
      </c>
    </row>
    <row r="20" spans="1:8">
      <c r="A20" s="1">
        <v>18</v>
      </c>
      <c r="B20" s="1" t="s">
        <v>135</v>
      </c>
      <c r="C20" s="1">
        <v>35000</v>
      </c>
      <c r="D20" s="1">
        <f t="shared" si="0"/>
        <v>3500</v>
      </c>
      <c r="E20" s="18">
        <f t="shared" si="1"/>
        <v>5250</v>
      </c>
      <c r="F20" s="1">
        <f t="shared" si="2"/>
        <v>43750</v>
      </c>
      <c r="G20" s="1">
        <f t="shared" si="3"/>
        <v>1750</v>
      </c>
      <c r="H20" s="1">
        <f t="shared" si="4"/>
        <v>42000</v>
      </c>
    </row>
    <row r="21" spans="1:8">
      <c r="A21" s="1">
        <v>19</v>
      </c>
      <c r="B21" s="1" t="s">
        <v>136</v>
      </c>
      <c r="C21" s="1">
        <v>33000</v>
      </c>
      <c r="D21" s="1">
        <f t="shared" si="0"/>
        <v>3300</v>
      </c>
      <c r="E21" s="18">
        <f t="shared" si="1"/>
        <v>4950</v>
      </c>
      <c r="F21" s="1">
        <f t="shared" si="2"/>
        <v>41250</v>
      </c>
      <c r="G21" s="1">
        <f t="shared" si="3"/>
        <v>1650</v>
      </c>
      <c r="H21" s="1">
        <f t="shared" si="4"/>
        <v>39600</v>
      </c>
    </row>
    <row r="22" spans="1:8">
      <c r="A22" s="1">
        <v>20</v>
      </c>
      <c r="B22" s="1" t="s">
        <v>137</v>
      </c>
      <c r="C22" s="1">
        <v>31000</v>
      </c>
      <c r="D22" s="1">
        <f t="shared" si="0"/>
        <v>3100</v>
      </c>
      <c r="E22" s="18">
        <f t="shared" si="1"/>
        <v>4650</v>
      </c>
      <c r="F22" s="1">
        <f t="shared" si="2"/>
        <v>38750</v>
      </c>
      <c r="G22" s="1">
        <f t="shared" si="3"/>
        <v>1550</v>
      </c>
      <c r="H22" s="1">
        <f t="shared" si="4"/>
        <v>37200</v>
      </c>
    </row>
    <row r="23" spans="1:8">
      <c r="A23" s="1">
        <v>21</v>
      </c>
      <c r="B23" s="1" t="s">
        <v>138</v>
      </c>
      <c r="C23" s="1">
        <v>40000</v>
      </c>
      <c r="D23" s="1">
        <f t="shared" si="0"/>
        <v>4000</v>
      </c>
      <c r="E23" s="18">
        <f t="shared" si="1"/>
        <v>6000</v>
      </c>
      <c r="F23" s="1">
        <f t="shared" si="2"/>
        <v>50000</v>
      </c>
      <c r="G23" s="1">
        <f t="shared" si="3"/>
        <v>2000</v>
      </c>
      <c r="H23" s="1">
        <f t="shared" si="4"/>
        <v>48000</v>
      </c>
    </row>
    <row r="24" spans="1:8">
      <c r="A24" s="1">
        <v>22</v>
      </c>
      <c r="B24" s="1" t="s">
        <v>139</v>
      </c>
      <c r="C24" s="1">
        <v>35500</v>
      </c>
      <c r="D24" s="1">
        <f t="shared" si="0"/>
        <v>3550</v>
      </c>
      <c r="E24" s="18">
        <f t="shared" si="1"/>
        <v>5325</v>
      </c>
      <c r="F24" s="1">
        <f t="shared" si="2"/>
        <v>44375</v>
      </c>
      <c r="G24" s="1">
        <f t="shared" si="3"/>
        <v>1775</v>
      </c>
      <c r="H24" s="1">
        <f t="shared" si="4"/>
        <v>42600</v>
      </c>
    </row>
    <row r="25" spans="1:8">
      <c r="A25" s="1">
        <v>23</v>
      </c>
      <c r="B25" s="1" t="s">
        <v>140</v>
      </c>
      <c r="C25" s="1">
        <v>38500</v>
      </c>
      <c r="D25" s="1">
        <f t="shared" si="0"/>
        <v>3850</v>
      </c>
      <c r="E25" s="18">
        <f t="shared" si="1"/>
        <v>5775</v>
      </c>
      <c r="F25" s="1">
        <f t="shared" si="2"/>
        <v>48125</v>
      </c>
      <c r="G25" s="1">
        <f t="shared" si="3"/>
        <v>1925</v>
      </c>
      <c r="H25" s="1">
        <f t="shared" si="4"/>
        <v>46200</v>
      </c>
    </row>
    <row r="26" spans="1:8">
      <c r="A26" s="1">
        <v>24</v>
      </c>
      <c r="B26" s="1" t="s">
        <v>110</v>
      </c>
      <c r="C26" s="1">
        <v>32500</v>
      </c>
      <c r="D26" s="1">
        <f t="shared" si="0"/>
        <v>3250</v>
      </c>
      <c r="E26" s="18">
        <f t="shared" si="1"/>
        <v>4875</v>
      </c>
      <c r="F26" s="1">
        <f t="shared" si="2"/>
        <v>40625</v>
      </c>
      <c r="G26" s="1">
        <f t="shared" si="3"/>
        <v>1625</v>
      </c>
      <c r="H26" s="1">
        <f t="shared" si="4"/>
        <v>39000</v>
      </c>
    </row>
    <row r="27" spans="1:8">
      <c r="A27" s="1">
        <v>25</v>
      </c>
      <c r="B27" s="1" t="s">
        <v>141</v>
      </c>
      <c r="C27" s="1">
        <v>31500</v>
      </c>
      <c r="D27" s="1">
        <f t="shared" si="0"/>
        <v>3150</v>
      </c>
      <c r="E27" s="18">
        <f t="shared" si="1"/>
        <v>4725</v>
      </c>
      <c r="F27" s="1">
        <f t="shared" si="2"/>
        <v>39375</v>
      </c>
      <c r="G27" s="1">
        <f t="shared" si="3"/>
        <v>1575</v>
      </c>
      <c r="H27" s="1">
        <f t="shared" si="4"/>
        <v>37800</v>
      </c>
    </row>
    <row r="28" spans="1:8">
      <c r="A28" s="1">
        <v>26</v>
      </c>
      <c r="B28" s="1" t="s">
        <v>142</v>
      </c>
      <c r="C28" s="1">
        <v>33500</v>
      </c>
      <c r="D28" s="1">
        <f t="shared" si="0"/>
        <v>3350</v>
      </c>
      <c r="E28" s="18">
        <f t="shared" si="1"/>
        <v>5025</v>
      </c>
      <c r="F28" s="1">
        <f t="shared" si="2"/>
        <v>41875</v>
      </c>
      <c r="G28" s="1">
        <f t="shared" si="3"/>
        <v>1675</v>
      </c>
      <c r="H28" s="1">
        <f t="shared" si="4"/>
        <v>40200</v>
      </c>
    </row>
    <row r="29" spans="1:8">
      <c r="A29" s="1">
        <v>27</v>
      </c>
      <c r="B29" s="1" t="s">
        <v>143</v>
      </c>
      <c r="C29" s="1">
        <v>36500</v>
      </c>
      <c r="D29" s="1">
        <f t="shared" si="0"/>
        <v>3650</v>
      </c>
      <c r="E29" s="18">
        <f t="shared" si="1"/>
        <v>5475</v>
      </c>
      <c r="F29" s="1">
        <f t="shared" si="2"/>
        <v>45625</v>
      </c>
      <c r="G29" s="1">
        <f t="shared" si="3"/>
        <v>1825</v>
      </c>
      <c r="H29" s="1">
        <f t="shared" si="4"/>
        <v>43800</v>
      </c>
    </row>
    <row r="30" spans="1:8">
      <c r="A30" s="1">
        <v>28</v>
      </c>
      <c r="B30" s="1" t="s">
        <v>144</v>
      </c>
      <c r="C30" s="1">
        <v>34500</v>
      </c>
      <c r="D30" s="1">
        <f t="shared" si="0"/>
        <v>3450</v>
      </c>
      <c r="E30" s="18">
        <f t="shared" si="1"/>
        <v>5175</v>
      </c>
      <c r="F30" s="1">
        <f t="shared" si="2"/>
        <v>43125</v>
      </c>
      <c r="G30" s="1">
        <f t="shared" si="3"/>
        <v>1725</v>
      </c>
      <c r="H30" s="1">
        <f t="shared" si="4"/>
        <v>41400</v>
      </c>
    </row>
    <row r="31" spans="1:8">
      <c r="A31" s="1">
        <v>29</v>
      </c>
      <c r="B31" s="1" t="s">
        <v>145</v>
      </c>
      <c r="C31" s="1">
        <v>39500</v>
      </c>
      <c r="D31" s="1">
        <f t="shared" si="0"/>
        <v>3950</v>
      </c>
      <c r="E31" s="18">
        <f t="shared" si="1"/>
        <v>5925</v>
      </c>
      <c r="F31" s="1">
        <f t="shared" si="2"/>
        <v>49375</v>
      </c>
      <c r="G31" s="1">
        <f t="shared" si="3"/>
        <v>1975</v>
      </c>
      <c r="H31" s="1">
        <f t="shared" si="4"/>
        <v>47400</v>
      </c>
    </row>
    <row r="32" spans="1:8">
      <c r="A32" s="1">
        <v>30</v>
      </c>
      <c r="B32" s="1" t="s">
        <v>146</v>
      </c>
      <c r="C32" s="1">
        <v>37000</v>
      </c>
      <c r="D32" s="1">
        <f t="shared" si="0"/>
        <v>3700</v>
      </c>
      <c r="E32" s="18">
        <f t="shared" si="1"/>
        <v>5550</v>
      </c>
      <c r="F32" s="1">
        <f t="shared" si="2"/>
        <v>46250</v>
      </c>
      <c r="G32" s="1">
        <f t="shared" si="3"/>
        <v>1850</v>
      </c>
      <c r="H32" s="1">
        <f t="shared" si="4"/>
        <v>44400</v>
      </c>
    </row>
  </sheetData>
  <mergeCells count="1">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D1C31-41F4-4C9E-B497-DFD5FA7F3095}">
  <dimension ref="A1:V35"/>
  <sheetViews>
    <sheetView workbookViewId="0">
      <selection activeCell="X15" sqref="X15"/>
    </sheetView>
  </sheetViews>
  <sheetFormatPr defaultRowHeight="15"/>
  <cols>
    <col min="1" max="1" width="9.140625" style="63"/>
    <col min="2" max="2" width="10.85546875" style="63" customWidth="1"/>
    <col min="3" max="8" width="9.140625" style="63"/>
    <col min="9" max="9" width="14" style="63" customWidth="1"/>
    <col min="10" max="12" width="9.140625" style="63"/>
    <col min="13" max="13" width="15" style="63" customWidth="1"/>
    <col min="14" max="21" width="9.140625" style="63"/>
    <col min="22" max="22" width="15.7109375" style="63" customWidth="1"/>
    <col min="23" max="16384" width="9.140625" style="63"/>
  </cols>
  <sheetData>
    <row r="1" spans="1:22" ht="21">
      <c r="A1" s="111" t="s">
        <v>318</v>
      </c>
      <c r="B1" s="112"/>
      <c r="C1" s="112"/>
      <c r="D1" s="112"/>
      <c r="E1" s="112"/>
      <c r="F1" s="112"/>
      <c r="G1" s="112"/>
      <c r="H1" s="112"/>
      <c r="I1" s="112"/>
      <c r="J1" s="112"/>
      <c r="K1" s="112"/>
      <c r="L1" s="112"/>
      <c r="M1" s="112"/>
      <c r="N1" s="112"/>
      <c r="O1" s="113"/>
    </row>
    <row r="2" spans="1:22" ht="15.75">
      <c r="A2" s="69" t="s">
        <v>319</v>
      </c>
      <c r="B2" s="69" t="s">
        <v>12</v>
      </c>
      <c r="C2" s="69" t="s">
        <v>13</v>
      </c>
      <c r="D2" s="69" t="s">
        <v>14</v>
      </c>
      <c r="E2" s="69" t="s">
        <v>15</v>
      </c>
      <c r="F2" s="69" t="s">
        <v>16</v>
      </c>
      <c r="G2" s="69" t="s">
        <v>320</v>
      </c>
      <c r="H2" s="70" t="s">
        <v>163</v>
      </c>
      <c r="I2" s="69" t="s">
        <v>321</v>
      </c>
      <c r="J2" s="69" t="s">
        <v>322</v>
      </c>
      <c r="K2" s="69" t="s">
        <v>323</v>
      </c>
      <c r="L2" s="69" t="s">
        <v>81</v>
      </c>
      <c r="M2" s="69" t="s">
        <v>324</v>
      </c>
      <c r="N2" s="69" t="s">
        <v>325</v>
      </c>
      <c r="O2" s="69" t="s">
        <v>326</v>
      </c>
    </row>
    <row r="3" spans="1:22" ht="15.75">
      <c r="A3" s="64">
        <v>1</v>
      </c>
      <c r="B3" s="64" t="s">
        <v>103</v>
      </c>
      <c r="C3" s="64">
        <v>85</v>
      </c>
      <c r="D3" s="64">
        <v>80</v>
      </c>
      <c r="E3" s="64">
        <v>99</v>
      </c>
      <c r="F3" s="64">
        <v>80</v>
      </c>
      <c r="G3" s="64">
        <v>80</v>
      </c>
      <c r="H3" s="64">
        <f t="shared" ref="H3:H22" si="0">SUM(C3:G3)</f>
        <v>424</v>
      </c>
      <c r="I3" s="64">
        <f t="shared" ref="I3:I22" si="1">AVERAGE(C3:G3)</f>
        <v>84.8</v>
      </c>
      <c r="J3" s="64">
        <f t="shared" ref="J3:J22" si="2">MEDIAN(C3:G3)</f>
        <v>80</v>
      </c>
      <c r="K3" s="64">
        <f t="shared" ref="K3:K22" si="3">MODE(C3:G3)</f>
        <v>80</v>
      </c>
      <c r="L3" s="65">
        <f t="shared" ref="L3:L22" si="4">COUNT(C3:G3)</f>
        <v>5</v>
      </c>
      <c r="M3" s="66">
        <f t="shared" ref="M3:M22" si="5">H3/500</f>
        <v>0.84799999999999998</v>
      </c>
      <c r="N3" s="64">
        <f t="shared" ref="N3:N22" si="6">MIN(C3:G3)</f>
        <v>80</v>
      </c>
      <c r="O3" s="64">
        <f t="shared" ref="O3:O22" si="7">MAX(C3:G3)</f>
        <v>99</v>
      </c>
    </row>
    <row r="4" spans="1:22" ht="15.75">
      <c r="A4" s="64">
        <v>2</v>
      </c>
      <c r="B4" s="64" t="s">
        <v>327</v>
      </c>
      <c r="C4" s="64">
        <v>90</v>
      </c>
      <c r="D4" s="64">
        <v>80</v>
      </c>
      <c r="E4" s="64">
        <v>75</v>
      </c>
      <c r="F4" s="64">
        <v>95</v>
      </c>
      <c r="G4" s="64">
        <v>80</v>
      </c>
      <c r="H4" s="64">
        <f t="shared" si="0"/>
        <v>420</v>
      </c>
      <c r="I4" s="64">
        <f t="shared" si="1"/>
        <v>84</v>
      </c>
      <c r="J4" s="64">
        <f t="shared" si="2"/>
        <v>80</v>
      </c>
      <c r="K4" s="64">
        <f t="shared" si="3"/>
        <v>80</v>
      </c>
      <c r="L4" s="65">
        <f t="shared" si="4"/>
        <v>5</v>
      </c>
      <c r="M4" s="66">
        <f t="shared" si="5"/>
        <v>0.84</v>
      </c>
      <c r="N4" s="64">
        <f t="shared" si="6"/>
        <v>75</v>
      </c>
      <c r="O4" s="64">
        <f t="shared" si="7"/>
        <v>95</v>
      </c>
      <c r="S4" s="108" t="s">
        <v>328</v>
      </c>
      <c r="T4" s="109"/>
      <c r="U4" s="109"/>
      <c r="V4" s="110"/>
    </row>
    <row r="5" spans="1:22" ht="15.75">
      <c r="A5" s="64">
        <v>3</v>
      </c>
      <c r="B5" s="64" t="s">
        <v>123</v>
      </c>
      <c r="C5" s="64">
        <v>90</v>
      </c>
      <c r="D5" s="64">
        <v>75</v>
      </c>
      <c r="E5" s="64">
        <v>73</v>
      </c>
      <c r="F5" s="64">
        <v>90</v>
      </c>
      <c r="G5" s="64">
        <v>96</v>
      </c>
      <c r="H5" s="64">
        <f t="shared" si="0"/>
        <v>424</v>
      </c>
      <c r="I5" s="64">
        <f t="shared" si="1"/>
        <v>84.8</v>
      </c>
      <c r="J5" s="64">
        <f t="shared" si="2"/>
        <v>90</v>
      </c>
      <c r="K5" s="64">
        <f t="shared" si="3"/>
        <v>90</v>
      </c>
      <c r="L5" s="65">
        <f t="shared" si="4"/>
        <v>5</v>
      </c>
      <c r="M5" s="66">
        <f t="shared" si="5"/>
        <v>0.84799999999999998</v>
      </c>
      <c r="N5" s="64">
        <f t="shared" si="6"/>
        <v>73</v>
      </c>
      <c r="O5" s="64">
        <f t="shared" si="7"/>
        <v>96</v>
      </c>
      <c r="S5" s="71" t="s">
        <v>13</v>
      </c>
      <c r="T5" s="71" t="s">
        <v>14</v>
      </c>
      <c r="U5" s="71" t="s">
        <v>163</v>
      </c>
      <c r="V5" s="71" t="s">
        <v>444</v>
      </c>
    </row>
    <row r="6" spans="1:22" ht="15.75">
      <c r="A6" s="64">
        <v>4</v>
      </c>
      <c r="B6" s="64" t="s">
        <v>329</v>
      </c>
      <c r="C6" s="64">
        <v>95</v>
      </c>
      <c r="D6" s="64">
        <v>80</v>
      </c>
      <c r="E6" s="64">
        <v>75</v>
      </c>
      <c r="F6" s="64">
        <v>92</v>
      </c>
      <c r="G6" s="64">
        <v>90</v>
      </c>
      <c r="H6" s="64">
        <f t="shared" si="0"/>
        <v>432</v>
      </c>
      <c r="I6" s="64">
        <f t="shared" si="1"/>
        <v>86.4</v>
      </c>
      <c r="J6" s="64">
        <f t="shared" si="2"/>
        <v>90</v>
      </c>
      <c r="K6" s="64" t="e">
        <f t="shared" si="3"/>
        <v>#N/A</v>
      </c>
      <c r="L6" s="65">
        <f t="shared" si="4"/>
        <v>5</v>
      </c>
      <c r="M6" s="66">
        <f t="shared" si="5"/>
        <v>0.86399999999999999</v>
      </c>
      <c r="N6" s="64">
        <f t="shared" si="6"/>
        <v>75</v>
      </c>
      <c r="O6" s="64">
        <f t="shared" si="7"/>
        <v>95</v>
      </c>
      <c r="S6" s="67">
        <v>74</v>
      </c>
      <c r="T6" s="67">
        <v>84</v>
      </c>
      <c r="U6" s="67">
        <f>SUM(S6:T6)</f>
        <v>158</v>
      </c>
      <c r="V6" s="68">
        <f>U6/200</f>
        <v>0.79</v>
      </c>
    </row>
    <row r="7" spans="1:22" ht="15.75">
      <c r="A7" s="64">
        <v>5</v>
      </c>
      <c r="B7" s="64" t="s">
        <v>330</v>
      </c>
      <c r="C7" s="64">
        <v>80</v>
      </c>
      <c r="D7" s="64">
        <v>85</v>
      </c>
      <c r="E7" s="64">
        <v>70</v>
      </c>
      <c r="F7" s="64">
        <v>82</v>
      </c>
      <c r="G7" s="64">
        <v>86</v>
      </c>
      <c r="H7" s="64">
        <f t="shared" si="0"/>
        <v>403</v>
      </c>
      <c r="I7" s="64">
        <f t="shared" si="1"/>
        <v>80.599999999999994</v>
      </c>
      <c r="J7" s="64">
        <f t="shared" si="2"/>
        <v>82</v>
      </c>
      <c r="K7" s="64" t="e">
        <f t="shared" si="3"/>
        <v>#N/A</v>
      </c>
      <c r="L7" s="65">
        <f t="shared" si="4"/>
        <v>5</v>
      </c>
      <c r="M7" s="66">
        <f t="shared" si="5"/>
        <v>0.80600000000000005</v>
      </c>
      <c r="N7" s="64">
        <f t="shared" si="6"/>
        <v>70</v>
      </c>
      <c r="O7" s="64">
        <f t="shared" si="7"/>
        <v>86</v>
      </c>
      <c r="S7" s="67">
        <v>73</v>
      </c>
      <c r="T7" s="67">
        <v>83</v>
      </c>
      <c r="U7" s="67">
        <f>SUM(S7:T7)</f>
        <v>156</v>
      </c>
      <c r="V7" s="68">
        <f>U7/200</f>
        <v>0.78</v>
      </c>
    </row>
    <row r="8" spans="1:22" ht="15.75">
      <c r="A8" s="64">
        <v>6</v>
      </c>
      <c r="B8" s="64" t="s">
        <v>197</v>
      </c>
      <c r="C8" s="64">
        <v>95</v>
      </c>
      <c r="D8" s="64">
        <v>90</v>
      </c>
      <c r="E8" s="64">
        <v>92</v>
      </c>
      <c r="F8" s="64">
        <v>89</v>
      </c>
      <c r="G8" s="64">
        <v>84</v>
      </c>
      <c r="H8" s="64">
        <f t="shared" si="0"/>
        <v>450</v>
      </c>
      <c r="I8" s="64">
        <f t="shared" si="1"/>
        <v>90</v>
      </c>
      <c r="J8" s="64">
        <f t="shared" si="2"/>
        <v>90</v>
      </c>
      <c r="K8" s="64" t="e">
        <f t="shared" si="3"/>
        <v>#N/A</v>
      </c>
      <c r="L8" s="65">
        <f t="shared" si="4"/>
        <v>5</v>
      </c>
      <c r="M8" s="66">
        <f t="shared" si="5"/>
        <v>0.9</v>
      </c>
      <c r="N8" s="64">
        <f t="shared" si="6"/>
        <v>84</v>
      </c>
      <c r="O8" s="64">
        <f t="shared" si="7"/>
        <v>95</v>
      </c>
    </row>
    <row r="9" spans="1:22" ht="15.75">
      <c r="A9" s="64">
        <v>7</v>
      </c>
      <c r="B9" s="64" t="s">
        <v>331</v>
      </c>
      <c r="C9" s="64">
        <v>85</v>
      </c>
      <c r="D9" s="64">
        <v>80</v>
      </c>
      <c r="E9" s="64">
        <v>78</v>
      </c>
      <c r="F9" s="64">
        <v>81</v>
      </c>
      <c r="G9" s="64">
        <v>79</v>
      </c>
      <c r="H9" s="64">
        <f t="shared" si="0"/>
        <v>403</v>
      </c>
      <c r="I9" s="64">
        <f t="shared" si="1"/>
        <v>80.599999999999994</v>
      </c>
      <c r="J9" s="64">
        <f t="shared" si="2"/>
        <v>80</v>
      </c>
      <c r="K9" s="64" t="e">
        <f t="shared" si="3"/>
        <v>#N/A</v>
      </c>
      <c r="L9" s="65">
        <f t="shared" si="4"/>
        <v>5</v>
      </c>
      <c r="M9" s="66">
        <f t="shared" si="5"/>
        <v>0.80600000000000005</v>
      </c>
      <c r="N9" s="64">
        <f t="shared" si="6"/>
        <v>78</v>
      </c>
      <c r="O9" s="64">
        <f t="shared" si="7"/>
        <v>85</v>
      </c>
    </row>
    <row r="10" spans="1:22" ht="15.75">
      <c r="A10" s="64">
        <v>8</v>
      </c>
      <c r="B10" s="64" t="s">
        <v>332</v>
      </c>
      <c r="C10" s="64">
        <v>90</v>
      </c>
      <c r="D10" s="64">
        <v>90</v>
      </c>
      <c r="E10" s="64">
        <v>93</v>
      </c>
      <c r="F10" s="64">
        <v>90</v>
      </c>
      <c r="G10" s="64">
        <v>87</v>
      </c>
      <c r="H10" s="64">
        <f t="shared" si="0"/>
        <v>450</v>
      </c>
      <c r="I10" s="64">
        <f t="shared" si="1"/>
        <v>90</v>
      </c>
      <c r="J10" s="64">
        <f t="shared" si="2"/>
        <v>90</v>
      </c>
      <c r="K10" s="64">
        <f t="shared" si="3"/>
        <v>90</v>
      </c>
      <c r="L10" s="65">
        <f t="shared" si="4"/>
        <v>5</v>
      </c>
      <c r="M10" s="66">
        <f t="shared" si="5"/>
        <v>0.9</v>
      </c>
      <c r="N10" s="64">
        <f t="shared" si="6"/>
        <v>87</v>
      </c>
      <c r="O10" s="64">
        <f t="shared" si="7"/>
        <v>93</v>
      </c>
      <c r="S10" s="108" t="s">
        <v>333</v>
      </c>
      <c r="T10" s="109"/>
      <c r="U10" s="109"/>
      <c r="V10" s="110"/>
    </row>
    <row r="11" spans="1:22" ht="15.75">
      <c r="A11" s="64">
        <v>9</v>
      </c>
      <c r="B11" s="64" t="s">
        <v>334</v>
      </c>
      <c r="C11" s="64">
        <v>90</v>
      </c>
      <c r="D11" s="64">
        <v>85</v>
      </c>
      <c r="E11" s="64">
        <v>85</v>
      </c>
      <c r="F11" s="64">
        <v>87</v>
      </c>
      <c r="G11" s="64">
        <v>89</v>
      </c>
      <c r="H11" s="64">
        <f t="shared" si="0"/>
        <v>436</v>
      </c>
      <c r="I11" s="64">
        <f t="shared" si="1"/>
        <v>87.2</v>
      </c>
      <c r="J11" s="64">
        <f t="shared" si="2"/>
        <v>87</v>
      </c>
      <c r="K11" s="64">
        <f t="shared" si="3"/>
        <v>85</v>
      </c>
      <c r="L11" s="65">
        <f t="shared" si="4"/>
        <v>5</v>
      </c>
      <c r="M11" s="66">
        <f t="shared" si="5"/>
        <v>0.872</v>
      </c>
      <c r="N11" s="64">
        <f t="shared" si="6"/>
        <v>85</v>
      </c>
      <c r="O11" s="64">
        <f t="shared" si="7"/>
        <v>90</v>
      </c>
      <c r="S11" s="67">
        <v>75</v>
      </c>
      <c r="T11" s="67">
        <v>85</v>
      </c>
      <c r="U11" s="67">
        <v>95</v>
      </c>
      <c r="V11" s="67">
        <f>MIN(S11:U11)</f>
        <v>75</v>
      </c>
    </row>
    <row r="12" spans="1:22" ht="15.75">
      <c r="A12" s="64">
        <v>10</v>
      </c>
      <c r="B12" s="64" t="s">
        <v>335</v>
      </c>
      <c r="C12" s="64">
        <v>85</v>
      </c>
      <c r="D12" s="64">
        <v>80</v>
      </c>
      <c r="E12" s="64">
        <v>97</v>
      </c>
      <c r="F12" s="64">
        <v>83</v>
      </c>
      <c r="G12" s="64">
        <v>82</v>
      </c>
      <c r="H12" s="64">
        <f t="shared" si="0"/>
        <v>427</v>
      </c>
      <c r="I12" s="64">
        <f t="shared" si="1"/>
        <v>85.4</v>
      </c>
      <c r="J12" s="64">
        <f t="shared" si="2"/>
        <v>83</v>
      </c>
      <c r="K12" s="64" t="e">
        <f t="shared" si="3"/>
        <v>#N/A</v>
      </c>
      <c r="L12" s="65">
        <f t="shared" si="4"/>
        <v>5</v>
      </c>
      <c r="M12" s="66">
        <f t="shared" si="5"/>
        <v>0.85399999999999998</v>
      </c>
      <c r="N12" s="64">
        <f t="shared" si="6"/>
        <v>80</v>
      </c>
      <c r="O12" s="64">
        <f t="shared" si="7"/>
        <v>97</v>
      </c>
      <c r="S12" s="67">
        <v>74</v>
      </c>
      <c r="T12" s="67">
        <v>84</v>
      </c>
      <c r="U12" s="67">
        <v>94</v>
      </c>
      <c r="V12" s="67">
        <f>MIN(S12:U12)</f>
        <v>74</v>
      </c>
    </row>
    <row r="13" spans="1:22" ht="15.75">
      <c r="A13" s="64">
        <v>11</v>
      </c>
      <c r="B13" s="64" t="s">
        <v>336</v>
      </c>
      <c r="C13" s="64">
        <v>98</v>
      </c>
      <c r="D13" s="64">
        <v>99</v>
      </c>
      <c r="E13" s="64">
        <v>100</v>
      </c>
      <c r="F13" s="64">
        <v>97</v>
      </c>
      <c r="G13" s="64">
        <v>92</v>
      </c>
      <c r="H13" s="64">
        <f t="shared" si="0"/>
        <v>486</v>
      </c>
      <c r="I13" s="64">
        <f t="shared" si="1"/>
        <v>97.2</v>
      </c>
      <c r="J13" s="64">
        <f t="shared" si="2"/>
        <v>98</v>
      </c>
      <c r="K13" s="64" t="e">
        <f t="shared" si="3"/>
        <v>#N/A</v>
      </c>
      <c r="L13" s="65">
        <f t="shared" si="4"/>
        <v>5</v>
      </c>
      <c r="M13" s="66">
        <f t="shared" si="5"/>
        <v>0.97199999999999998</v>
      </c>
      <c r="N13" s="64">
        <f t="shared" si="6"/>
        <v>92</v>
      </c>
      <c r="O13" s="64">
        <f t="shared" si="7"/>
        <v>100</v>
      </c>
      <c r="S13" s="67">
        <v>73</v>
      </c>
      <c r="T13" s="67">
        <v>83</v>
      </c>
      <c r="U13" s="67">
        <v>93</v>
      </c>
      <c r="V13" s="67">
        <f>MIN(S13:U13)</f>
        <v>73</v>
      </c>
    </row>
    <row r="14" spans="1:22" ht="15.75">
      <c r="A14" s="64">
        <v>12</v>
      </c>
      <c r="B14" s="64" t="s">
        <v>141</v>
      </c>
      <c r="C14" s="64">
        <v>90</v>
      </c>
      <c r="D14" s="64">
        <v>95</v>
      </c>
      <c r="E14" s="64">
        <v>90</v>
      </c>
      <c r="F14" s="64">
        <v>89</v>
      </c>
      <c r="G14" s="64">
        <v>85</v>
      </c>
      <c r="H14" s="64">
        <f t="shared" si="0"/>
        <v>449</v>
      </c>
      <c r="I14" s="64">
        <f t="shared" si="1"/>
        <v>89.8</v>
      </c>
      <c r="J14" s="64">
        <f t="shared" si="2"/>
        <v>90</v>
      </c>
      <c r="K14" s="64">
        <f t="shared" si="3"/>
        <v>90</v>
      </c>
      <c r="L14" s="65">
        <f t="shared" si="4"/>
        <v>5</v>
      </c>
      <c r="M14" s="66">
        <f t="shared" si="5"/>
        <v>0.89800000000000002</v>
      </c>
      <c r="N14" s="64">
        <f t="shared" si="6"/>
        <v>85</v>
      </c>
      <c r="O14" s="64">
        <f t="shared" si="7"/>
        <v>95</v>
      </c>
    </row>
    <row r="15" spans="1:22" ht="15.75">
      <c r="A15" s="64">
        <v>13</v>
      </c>
      <c r="B15" s="64" t="s">
        <v>337</v>
      </c>
      <c r="C15" s="64">
        <v>80</v>
      </c>
      <c r="D15" s="64">
        <v>90</v>
      </c>
      <c r="E15" s="64">
        <v>80</v>
      </c>
      <c r="F15" s="64">
        <v>86</v>
      </c>
      <c r="G15" s="64">
        <v>83</v>
      </c>
      <c r="H15" s="64">
        <f t="shared" si="0"/>
        <v>419</v>
      </c>
      <c r="I15" s="64">
        <f t="shared" si="1"/>
        <v>83.8</v>
      </c>
      <c r="J15" s="64">
        <f t="shared" si="2"/>
        <v>83</v>
      </c>
      <c r="K15" s="64">
        <f t="shared" si="3"/>
        <v>80</v>
      </c>
      <c r="L15" s="65">
        <f t="shared" si="4"/>
        <v>5</v>
      </c>
      <c r="M15" s="66">
        <f t="shared" si="5"/>
        <v>0.83799999999999997</v>
      </c>
      <c r="N15" s="64">
        <f t="shared" si="6"/>
        <v>80</v>
      </c>
      <c r="O15" s="64">
        <f t="shared" si="7"/>
        <v>90</v>
      </c>
    </row>
    <row r="16" spans="1:22" ht="15.75">
      <c r="A16" s="64">
        <v>14</v>
      </c>
      <c r="B16" s="64" t="s">
        <v>110</v>
      </c>
      <c r="C16" s="64">
        <v>80</v>
      </c>
      <c r="D16" s="64">
        <v>80</v>
      </c>
      <c r="E16" s="64">
        <v>80</v>
      </c>
      <c r="F16" s="64">
        <v>88</v>
      </c>
      <c r="G16" s="64">
        <v>81</v>
      </c>
      <c r="H16" s="64">
        <f t="shared" si="0"/>
        <v>409</v>
      </c>
      <c r="I16" s="64">
        <f t="shared" si="1"/>
        <v>81.8</v>
      </c>
      <c r="J16" s="64">
        <f t="shared" si="2"/>
        <v>80</v>
      </c>
      <c r="K16" s="64">
        <f t="shared" si="3"/>
        <v>80</v>
      </c>
      <c r="L16" s="65">
        <f t="shared" si="4"/>
        <v>5</v>
      </c>
      <c r="M16" s="66">
        <f t="shared" si="5"/>
        <v>0.81799999999999995</v>
      </c>
      <c r="N16" s="64">
        <f t="shared" si="6"/>
        <v>80</v>
      </c>
      <c r="O16" s="64">
        <f t="shared" si="7"/>
        <v>88</v>
      </c>
      <c r="S16" s="108" t="s">
        <v>338</v>
      </c>
      <c r="T16" s="109"/>
      <c r="U16" s="109"/>
      <c r="V16" s="110"/>
    </row>
    <row r="17" spans="1:22" ht="15.75">
      <c r="A17" s="64">
        <v>15</v>
      </c>
      <c r="B17" s="64" t="s">
        <v>339</v>
      </c>
      <c r="C17" s="64">
        <v>85</v>
      </c>
      <c r="D17" s="64">
        <v>85</v>
      </c>
      <c r="E17" s="64">
        <v>95</v>
      </c>
      <c r="F17" s="64">
        <v>86</v>
      </c>
      <c r="G17" s="64">
        <v>82</v>
      </c>
      <c r="H17" s="64">
        <f t="shared" si="0"/>
        <v>433</v>
      </c>
      <c r="I17" s="64">
        <f t="shared" si="1"/>
        <v>86.6</v>
      </c>
      <c r="J17" s="64">
        <f t="shared" si="2"/>
        <v>85</v>
      </c>
      <c r="K17" s="64">
        <f t="shared" si="3"/>
        <v>85</v>
      </c>
      <c r="L17" s="65">
        <f t="shared" si="4"/>
        <v>5</v>
      </c>
      <c r="M17" s="66">
        <f t="shared" si="5"/>
        <v>0.86599999999999999</v>
      </c>
      <c r="N17" s="64">
        <f t="shared" si="6"/>
        <v>82</v>
      </c>
      <c r="O17" s="64">
        <f t="shared" si="7"/>
        <v>95</v>
      </c>
      <c r="S17" s="67">
        <v>55</v>
      </c>
      <c r="T17" s="67">
        <v>65</v>
      </c>
      <c r="U17" s="67">
        <v>75</v>
      </c>
      <c r="V17" s="67">
        <f>MAX(S17:U17)</f>
        <v>75</v>
      </c>
    </row>
    <row r="18" spans="1:22" ht="15.75">
      <c r="A18" s="64">
        <v>16</v>
      </c>
      <c r="B18" s="64" t="s">
        <v>340</v>
      </c>
      <c r="C18" s="64">
        <v>80</v>
      </c>
      <c r="D18" s="64">
        <v>80</v>
      </c>
      <c r="E18" s="64">
        <v>78</v>
      </c>
      <c r="F18" s="64">
        <v>78</v>
      </c>
      <c r="G18" s="64">
        <v>86</v>
      </c>
      <c r="H18" s="64">
        <f t="shared" si="0"/>
        <v>402</v>
      </c>
      <c r="I18" s="64">
        <f t="shared" si="1"/>
        <v>80.400000000000006</v>
      </c>
      <c r="J18" s="64">
        <f t="shared" si="2"/>
        <v>80</v>
      </c>
      <c r="K18" s="64">
        <f t="shared" si="3"/>
        <v>80</v>
      </c>
      <c r="L18" s="65">
        <f t="shared" si="4"/>
        <v>5</v>
      </c>
      <c r="M18" s="66">
        <f t="shared" si="5"/>
        <v>0.80400000000000005</v>
      </c>
      <c r="N18" s="64">
        <f t="shared" si="6"/>
        <v>78</v>
      </c>
      <c r="O18" s="64">
        <f t="shared" si="7"/>
        <v>86</v>
      </c>
      <c r="S18" s="67">
        <v>56</v>
      </c>
      <c r="T18" s="67">
        <v>66</v>
      </c>
      <c r="U18" s="67">
        <v>76</v>
      </c>
      <c r="V18" s="67">
        <f>MAX(S18:U18)</f>
        <v>76</v>
      </c>
    </row>
    <row r="19" spans="1:22" ht="15.75">
      <c r="A19" s="64">
        <v>17</v>
      </c>
      <c r="B19" s="64" t="s">
        <v>341</v>
      </c>
      <c r="C19" s="64">
        <v>85</v>
      </c>
      <c r="D19" s="64">
        <v>80</v>
      </c>
      <c r="E19" s="64">
        <v>79</v>
      </c>
      <c r="F19" s="64">
        <v>83</v>
      </c>
      <c r="G19" s="64">
        <v>81</v>
      </c>
      <c r="H19" s="64">
        <f t="shared" si="0"/>
        <v>408</v>
      </c>
      <c r="I19" s="64">
        <f t="shared" si="1"/>
        <v>81.599999999999994</v>
      </c>
      <c r="J19" s="64">
        <f t="shared" si="2"/>
        <v>81</v>
      </c>
      <c r="K19" s="64" t="e">
        <f t="shared" si="3"/>
        <v>#N/A</v>
      </c>
      <c r="L19" s="65">
        <f t="shared" si="4"/>
        <v>5</v>
      </c>
      <c r="M19" s="66">
        <f t="shared" si="5"/>
        <v>0.81599999999999995</v>
      </c>
      <c r="N19" s="64">
        <f t="shared" si="6"/>
        <v>79</v>
      </c>
      <c r="O19" s="64">
        <f t="shared" si="7"/>
        <v>85</v>
      </c>
      <c r="S19" s="67">
        <v>57</v>
      </c>
      <c r="T19" s="67">
        <v>67</v>
      </c>
      <c r="U19" s="67">
        <v>77</v>
      </c>
      <c r="V19" s="67">
        <f>MAX(S19:U19)</f>
        <v>77</v>
      </c>
    </row>
    <row r="20" spans="1:22" ht="15.75">
      <c r="A20" s="64">
        <v>18</v>
      </c>
      <c r="B20" s="64" t="s">
        <v>342</v>
      </c>
      <c r="C20" s="64">
        <v>85</v>
      </c>
      <c r="D20" s="64">
        <v>90</v>
      </c>
      <c r="E20" s="64">
        <v>85</v>
      </c>
      <c r="F20" s="64">
        <v>82</v>
      </c>
      <c r="G20" s="64">
        <v>85</v>
      </c>
      <c r="H20" s="64">
        <f t="shared" si="0"/>
        <v>427</v>
      </c>
      <c r="I20" s="64">
        <f t="shared" si="1"/>
        <v>85.4</v>
      </c>
      <c r="J20" s="64">
        <f t="shared" si="2"/>
        <v>85</v>
      </c>
      <c r="K20" s="64">
        <f t="shared" si="3"/>
        <v>85</v>
      </c>
      <c r="L20" s="65">
        <f t="shared" si="4"/>
        <v>5</v>
      </c>
      <c r="M20" s="66">
        <f t="shared" si="5"/>
        <v>0.85399999999999998</v>
      </c>
      <c r="N20" s="64">
        <f t="shared" si="6"/>
        <v>82</v>
      </c>
      <c r="O20" s="64">
        <f t="shared" si="7"/>
        <v>90</v>
      </c>
    </row>
    <row r="21" spans="1:22" ht="15.75">
      <c r="A21" s="64">
        <v>19</v>
      </c>
      <c r="B21" s="64" t="s">
        <v>343</v>
      </c>
      <c r="C21" s="64">
        <v>80</v>
      </c>
      <c r="D21" s="64">
        <v>80</v>
      </c>
      <c r="E21" s="64">
        <v>76</v>
      </c>
      <c r="F21" s="64">
        <v>78</v>
      </c>
      <c r="G21" s="64">
        <v>84</v>
      </c>
      <c r="H21" s="64">
        <f t="shared" si="0"/>
        <v>398</v>
      </c>
      <c r="I21" s="64">
        <f t="shared" si="1"/>
        <v>79.599999999999994</v>
      </c>
      <c r="J21" s="64">
        <f t="shared" si="2"/>
        <v>80</v>
      </c>
      <c r="K21" s="64">
        <f t="shared" si="3"/>
        <v>80</v>
      </c>
      <c r="L21" s="65">
        <f t="shared" si="4"/>
        <v>5</v>
      </c>
      <c r="M21" s="66">
        <f t="shared" si="5"/>
        <v>0.79600000000000004</v>
      </c>
      <c r="N21" s="64">
        <f t="shared" si="6"/>
        <v>76</v>
      </c>
      <c r="O21" s="64">
        <f t="shared" si="7"/>
        <v>84</v>
      </c>
    </row>
    <row r="22" spans="1:22" ht="15.75">
      <c r="A22" s="64">
        <v>20</v>
      </c>
      <c r="B22" s="64" t="s">
        <v>349</v>
      </c>
      <c r="C22" s="64">
        <v>90</v>
      </c>
      <c r="D22" s="64">
        <v>95</v>
      </c>
      <c r="E22" s="64">
        <v>80</v>
      </c>
      <c r="F22" s="64">
        <v>93</v>
      </c>
      <c r="G22" s="64">
        <v>87</v>
      </c>
      <c r="H22" s="64">
        <f t="shared" si="0"/>
        <v>445</v>
      </c>
      <c r="I22" s="64">
        <f t="shared" si="1"/>
        <v>89</v>
      </c>
      <c r="J22" s="64">
        <f t="shared" si="2"/>
        <v>90</v>
      </c>
      <c r="K22" s="64" t="e">
        <f t="shared" si="3"/>
        <v>#N/A</v>
      </c>
      <c r="L22" s="65">
        <f t="shared" si="4"/>
        <v>5</v>
      </c>
      <c r="M22" s="66">
        <f t="shared" si="5"/>
        <v>0.89</v>
      </c>
      <c r="N22" s="64">
        <f t="shared" si="6"/>
        <v>80</v>
      </c>
      <c r="O22" s="64">
        <f t="shared" si="7"/>
        <v>95</v>
      </c>
    </row>
    <row r="26" spans="1:22">
      <c r="C26" s="108" t="s">
        <v>344</v>
      </c>
      <c r="D26" s="109"/>
      <c r="E26" s="109"/>
      <c r="F26" s="110"/>
      <c r="H26" s="108" t="s">
        <v>345</v>
      </c>
      <c r="I26" s="109"/>
      <c r="J26" s="109"/>
      <c r="K26" s="110"/>
      <c r="M26" s="108" t="s">
        <v>346</v>
      </c>
      <c r="N26" s="109"/>
      <c r="O26" s="110"/>
    </row>
    <row r="27" spans="1:22">
      <c r="C27" s="67">
        <v>78</v>
      </c>
      <c r="D27" s="67">
        <v>83</v>
      </c>
      <c r="E27" s="67">
        <v>65</v>
      </c>
      <c r="F27" s="67">
        <f>SUM(C27+D27+E27)</f>
        <v>226</v>
      </c>
      <c r="H27" s="67">
        <v>75</v>
      </c>
      <c r="I27" s="67">
        <v>85</v>
      </c>
      <c r="J27" s="67">
        <v>95</v>
      </c>
      <c r="K27" s="67">
        <f>AVERAGE(H27:J27)</f>
        <v>85</v>
      </c>
      <c r="M27" s="67">
        <v>80</v>
      </c>
      <c r="N27" s="67">
        <v>84</v>
      </c>
      <c r="O27" s="67" t="e">
        <f>MODE(M27:N27)</f>
        <v>#N/A</v>
      </c>
    </row>
    <row r="28" spans="1:22">
      <c r="C28" s="67">
        <v>81</v>
      </c>
      <c r="D28" s="67">
        <v>73</v>
      </c>
      <c r="E28" s="67">
        <v>87</v>
      </c>
      <c r="F28" s="67">
        <f>SUM(C28+D28+E28)</f>
        <v>241</v>
      </c>
      <c r="H28" s="67">
        <v>74</v>
      </c>
      <c r="I28" s="67">
        <v>84</v>
      </c>
      <c r="J28" s="67">
        <v>94</v>
      </c>
      <c r="K28" s="67">
        <f>AVERAGE(H28:J28)</f>
        <v>84</v>
      </c>
      <c r="M28" s="67">
        <v>65</v>
      </c>
      <c r="N28" s="67">
        <v>67</v>
      </c>
      <c r="O28" s="67" t="e">
        <f>MODE(M28:N28)</f>
        <v>#N/A</v>
      </c>
    </row>
    <row r="29" spans="1:22">
      <c r="C29" s="67">
        <v>72</v>
      </c>
      <c r="D29" s="67">
        <v>67</v>
      </c>
      <c r="E29" s="67">
        <v>82</v>
      </c>
      <c r="F29" s="67">
        <f>SUM(C29+D29+E29)</f>
        <v>221</v>
      </c>
      <c r="H29" s="67">
        <v>73</v>
      </c>
      <c r="I29" s="67">
        <v>83</v>
      </c>
      <c r="J29" s="67">
        <v>93</v>
      </c>
      <c r="K29" s="67">
        <f>AVERAGE(H29:J29)</f>
        <v>83</v>
      </c>
      <c r="M29" s="67">
        <v>70</v>
      </c>
      <c r="N29" s="67">
        <v>75</v>
      </c>
      <c r="O29" s="67" t="e">
        <f>MODE(M29:N29)</f>
        <v>#N/A</v>
      </c>
    </row>
    <row r="32" spans="1:22">
      <c r="C32" s="108" t="s">
        <v>344</v>
      </c>
      <c r="D32" s="109"/>
      <c r="E32" s="109"/>
      <c r="F32" s="110"/>
      <c r="H32" s="108" t="s">
        <v>347</v>
      </c>
      <c r="I32" s="109"/>
      <c r="J32" s="109"/>
      <c r="K32" s="110"/>
      <c r="M32" s="108" t="s">
        <v>348</v>
      </c>
      <c r="N32" s="109"/>
      <c r="O32" s="110"/>
    </row>
    <row r="33" spans="3:15">
      <c r="C33" s="67">
        <v>75</v>
      </c>
      <c r="D33" s="67">
        <v>81</v>
      </c>
      <c r="E33" s="67">
        <v>62</v>
      </c>
      <c r="F33" s="67">
        <f>SUM(C33:E33)</f>
        <v>218</v>
      </c>
      <c r="H33" s="67">
        <v>55</v>
      </c>
      <c r="I33" s="67">
        <v>65</v>
      </c>
      <c r="J33" s="67">
        <v>75</v>
      </c>
      <c r="K33" s="67">
        <f>MEDIAN(H33:J33)</f>
        <v>65</v>
      </c>
      <c r="M33" s="67">
        <v>78</v>
      </c>
      <c r="N33" s="67">
        <v>83</v>
      </c>
      <c r="O33" s="67">
        <f>COUNT(M33:N33)</f>
        <v>2</v>
      </c>
    </row>
    <row r="34" spans="3:15">
      <c r="C34" s="67">
        <v>79</v>
      </c>
      <c r="D34" s="67">
        <v>75</v>
      </c>
      <c r="E34" s="67">
        <v>84</v>
      </c>
      <c r="F34" s="67">
        <f>SUM(C34:E34)</f>
        <v>238</v>
      </c>
      <c r="H34" s="67">
        <v>56</v>
      </c>
      <c r="I34" s="67">
        <v>66</v>
      </c>
      <c r="J34" s="67">
        <v>76</v>
      </c>
      <c r="K34" s="67">
        <f>MEDIAN(H34:J34)</f>
        <v>66</v>
      </c>
      <c r="M34" s="67">
        <v>81</v>
      </c>
      <c r="N34" s="67">
        <v>73</v>
      </c>
      <c r="O34" s="67">
        <f>COUNT(M34:N34)</f>
        <v>2</v>
      </c>
    </row>
    <row r="35" spans="3:15">
      <c r="C35" s="67">
        <v>76</v>
      </c>
      <c r="D35" s="67">
        <v>69</v>
      </c>
      <c r="E35" s="67">
        <v>83</v>
      </c>
      <c r="F35" s="67">
        <f>SUM(C35:E35)</f>
        <v>228</v>
      </c>
      <c r="H35" s="67">
        <v>57</v>
      </c>
      <c r="I35" s="67">
        <v>67</v>
      </c>
      <c r="J35" s="67">
        <v>77</v>
      </c>
      <c r="K35" s="67">
        <f>MEDIAN(H35:J35)</f>
        <v>67</v>
      </c>
      <c r="M35" s="67">
        <v>72</v>
      </c>
      <c r="N35" s="67">
        <v>67</v>
      </c>
      <c r="O35" s="67">
        <f>COUNT(M35:N35)</f>
        <v>2</v>
      </c>
    </row>
  </sheetData>
  <mergeCells count="10">
    <mergeCell ref="C32:F32"/>
    <mergeCell ref="H32:K32"/>
    <mergeCell ref="M32:O32"/>
    <mergeCell ref="A1:O1"/>
    <mergeCell ref="S4:V4"/>
    <mergeCell ref="S10:V10"/>
    <mergeCell ref="S16:V16"/>
    <mergeCell ref="C26:F26"/>
    <mergeCell ref="H26:K26"/>
    <mergeCell ref="M26:O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FFC31-EC72-40EA-919B-E8B911A52933}">
  <dimension ref="A1:U31"/>
  <sheetViews>
    <sheetView workbookViewId="0">
      <selection activeCell="M25" sqref="M25"/>
    </sheetView>
  </sheetViews>
  <sheetFormatPr defaultRowHeight="15"/>
  <cols>
    <col min="3" max="3" width="14.42578125" customWidth="1"/>
    <col min="4" max="4" width="15.42578125" customWidth="1"/>
    <col min="5" max="5" width="11.5703125" customWidth="1"/>
    <col min="6" max="6" width="9.85546875" customWidth="1"/>
    <col min="7" max="7" width="14" customWidth="1"/>
    <col min="8" max="8" width="13.85546875" customWidth="1"/>
    <col min="9" max="9" width="12.28515625" customWidth="1"/>
    <col min="10" max="10" width="11.140625" customWidth="1"/>
    <col min="11" max="11" width="11.42578125" customWidth="1"/>
    <col min="12" max="12" width="11" customWidth="1"/>
    <col min="13" max="13" width="13.140625" customWidth="1"/>
    <col min="19" max="19" width="10.140625" customWidth="1"/>
    <col min="20" max="20" width="11.85546875" customWidth="1"/>
    <col min="21" max="21" width="11.28515625" customWidth="1"/>
    <col min="28" max="28" width="9" customWidth="1"/>
  </cols>
  <sheetData>
    <row r="1" spans="1:21">
      <c r="A1" s="121" t="s">
        <v>0</v>
      </c>
      <c r="B1" s="121"/>
      <c r="C1" s="121"/>
      <c r="D1" s="121"/>
      <c r="E1" s="121"/>
      <c r="F1" s="121"/>
      <c r="G1" s="121"/>
      <c r="H1" s="121"/>
      <c r="I1" s="121"/>
      <c r="K1" s="118" t="s">
        <v>11</v>
      </c>
      <c r="L1" s="119"/>
      <c r="M1" s="119"/>
      <c r="N1" s="119"/>
      <c r="O1" s="119"/>
      <c r="P1" s="119"/>
      <c r="Q1" s="119"/>
      <c r="R1" s="119"/>
      <c r="S1" s="119"/>
      <c r="T1" s="119"/>
      <c r="U1" s="119"/>
    </row>
    <row r="2" spans="1:21" s="23" customFormat="1">
      <c r="A2" s="21"/>
      <c r="B2" s="22"/>
      <c r="C2" s="22"/>
      <c r="D2" s="22"/>
      <c r="F2" s="120" t="s">
        <v>10</v>
      </c>
      <c r="G2" s="120"/>
      <c r="H2" s="120"/>
      <c r="I2" s="120"/>
      <c r="K2" s="21"/>
      <c r="L2" s="22"/>
      <c r="M2" s="22"/>
      <c r="N2" s="22"/>
      <c r="O2" s="22"/>
      <c r="P2" s="22"/>
      <c r="Q2" s="22"/>
      <c r="R2" s="22"/>
      <c r="S2" s="22"/>
      <c r="T2" s="22"/>
      <c r="U2" s="22"/>
    </row>
    <row r="3" spans="1:21">
      <c r="A3" s="59" t="s">
        <v>1</v>
      </c>
      <c r="B3" s="59" t="s">
        <v>2</v>
      </c>
      <c r="C3" s="59" t="s">
        <v>3</v>
      </c>
      <c r="D3" s="59" t="s">
        <v>4</v>
      </c>
      <c r="F3" s="1">
        <v>20</v>
      </c>
      <c r="G3" s="1">
        <v>90</v>
      </c>
      <c r="H3" s="1">
        <f>IF(F3&lt;=G3,(G3-F3),(F3-G3))</f>
        <v>70</v>
      </c>
      <c r="I3" s="1"/>
      <c r="K3" s="95" t="s">
        <v>12</v>
      </c>
      <c r="L3" s="95" t="s">
        <v>13</v>
      </c>
      <c r="M3" s="95" t="s">
        <v>14</v>
      </c>
      <c r="N3" s="95" t="s">
        <v>15</v>
      </c>
      <c r="O3" s="95" t="s">
        <v>16</v>
      </c>
      <c r="P3" s="95" t="s">
        <v>17</v>
      </c>
      <c r="Q3" s="95" t="s">
        <v>18</v>
      </c>
      <c r="R3" s="95" t="s">
        <v>19</v>
      </c>
      <c r="S3" s="95" t="s">
        <v>20</v>
      </c>
      <c r="T3" s="95" t="s">
        <v>21</v>
      </c>
      <c r="U3" s="95" t="s">
        <v>22</v>
      </c>
    </row>
    <row r="4" spans="1:21">
      <c r="A4" s="1" t="s">
        <v>5</v>
      </c>
      <c r="B4" s="1">
        <v>60000</v>
      </c>
      <c r="C4" s="1" t="str">
        <f>IF(B4&gt;=50000,"good","bad")</f>
        <v>good</v>
      </c>
      <c r="D4" s="1">
        <f>IF(B4&gt;50000,B4-(B4*10%),B4)</f>
        <v>54000</v>
      </c>
      <c r="F4" s="1">
        <v>30</v>
      </c>
      <c r="G4" s="1">
        <v>45</v>
      </c>
      <c r="H4" s="1">
        <f t="shared" ref="H4:H7" si="0">IF(F4&lt;=G4,(G4-F4),(F4-G4))</f>
        <v>15</v>
      </c>
      <c r="I4" s="1"/>
      <c r="K4" s="1" t="s">
        <v>23</v>
      </c>
      <c r="L4" s="1">
        <v>90</v>
      </c>
      <c r="M4" s="1">
        <v>76</v>
      </c>
      <c r="N4" s="1">
        <v>68</v>
      </c>
      <c r="O4" s="1">
        <v>79</v>
      </c>
      <c r="P4" s="1">
        <v>89</v>
      </c>
      <c r="Q4" s="1" t="str" cm="1">
        <f t="array" ref="Q4:U4">_xlfn.IFS(L4:P4&lt;=50,"D",L4:P4&lt;=70,"C",L4:P4&lt;=80,"B",L4:P4&lt;=90,"A",L4:P4&lt;=95,"A+")</f>
        <v>A</v>
      </c>
      <c r="R4" s="1" t="str">
        <v>B</v>
      </c>
      <c r="S4" s="1" t="str">
        <v>C</v>
      </c>
      <c r="T4" s="1" t="str">
        <v>B</v>
      </c>
      <c r="U4" s="1" t="str">
        <v>A</v>
      </c>
    </row>
    <row r="5" spans="1:21">
      <c r="A5" s="1" t="s">
        <v>6</v>
      </c>
      <c r="B5" s="1">
        <v>70000</v>
      </c>
      <c r="C5" s="1" t="str">
        <f t="shared" ref="C5:C6" si="1">IF(B5&gt;=50000,"good","bad")</f>
        <v>good</v>
      </c>
      <c r="D5" s="1">
        <f t="shared" ref="D5:D6" si="2">IF(B5&gt;50000,B5-(B5*10%),B5)</f>
        <v>63000</v>
      </c>
      <c r="F5" s="1">
        <v>585</v>
      </c>
      <c r="G5" s="1">
        <v>800</v>
      </c>
      <c r="H5" s="1">
        <f t="shared" si="0"/>
        <v>215</v>
      </c>
      <c r="I5" s="1"/>
      <c r="K5" s="1" t="s">
        <v>24</v>
      </c>
      <c r="L5" s="1">
        <v>60</v>
      </c>
      <c r="M5" s="1">
        <v>87</v>
      </c>
      <c r="N5" s="1">
        <v>76</v>
      </c>
      <c r="O5" s="1">
        <v>58</v>
      </c>
      <c r="P5" s="1">
        <v>67</v>
      </c>
      <c r="Q5" s="1" t="str" cm="1">
        <f t="array" ref="Q5:U5">_xlfn.IFS(L5:P5&lt;=50,"D",L5:P5&lt;=70,"C",L5:P5&lt;=80,"B",L5:P5&lt;=90,"A",L5:P5&lt;=95,"A+")</f>
        <v>C</v>
      </c>
      <c r="R5" s="1" t="str">
        <v>A</v>
      </c>
      <c r="S5" s="1" t="str">
        <v>B</v>
      </c>
      <c r="T5" s="1" t="str">
        <v>C</v>
      </c>
      <c r="U5" s="1" t="str">
        <v>C</v>
      </c>
    </row>
    <row r="6" spans="1:21">
      <c r="A6" s="1" t="s">
        <v>7</v>
      </c>
      <c r="B6" s="1">
        <v>40000</v>
      </c>
      <c r="C6" s="1" t="str">
        <f t="shared" si="1"/>
        <v>bad</v>
      </c>
      <c r="D6" s="1">
        <f t="shared" si="2"/>
        <v>40000</v>
      </c>
      <c r="F6" s="1">
        <v>700</v>
      </c>
      <c r="G6" s="1">
        <v>483</v>
      </c>
      <c r="H6" s="1">
        <f t="shared" si="0"/>
        <v>217</v>
      </c>
      <c r="I6" s="1"/>
      <c r="K6" s="1" t="s">
        <v>25</v>
      </c>
      <c r="L6" s="1">
        <v>50</v>
      </c>
      <c r="M6" s="1">
        <v>94</v>
      </c>
      <c r="N6" s="1">
        <v>89</v>
      </c>
      <c r="O6" s="1">
        <v>65</v>
      </c>
      <c r="P6" s="1">
        <v>95</v>
      </c>
      <c r="Q6" s="1" t="str" cm="1">
        <f t="array" ref="Q6:U6">_xlfn.IFS(L6:P6&lt;=50,"D",L6:P6&lt;=70,"C",L6:P6&lt;=80,"B",L6:P6&lt;=90,"A",L6:P6&lt;=95,"A+")</f>
        <v>D</v>
      </c>
      <c r="R6" s="1" t="str">
        <v>A+</v>
      </c>
      <c r="S6" s="1" t="str">
        <v>A</v>
      </c>
      <c r="T6" s="1" t="str">
        <v>C</v>
      </c>
      <c r="U6" s="1" t="str">
        <v>A+</v>
      </c>
    </row>
    <row r="7" spans="1:21" ht="48" customHeight="1">
      <c r="A7" s="1"/>
      <c r="B7" s="1"/>
      <c r="C7" s="2" t="s">
        <v>8</v>
      </c>
      <c r="D7" s="1" t="s">
        <v>9</v>
      </c>
      <c r="F7" s="1">
        <v>38</v>
      </c>
      <c r="G7" s="1">
        <v>628</v>
      </c>
      <c r="H7" s="1">
        <f t="shared" si="0"/>
        <v>590</v>
      </c>
      <c r="I7" s="1"/>
      <c r="K7" s="1" t="s">
        <v>26</v>
      </c>
      <c r="L7" s="1">
        <v>78</v>
      </c>
      <c r="M7" s="1">
        <v>89</v>
      </c>
      <c r="N7" s="1">
        <v>90</v>
      </c>
      <c r="O7" s="1">
        <v>87</v>
      </c>
      <c r="P7" s="1">
        <v>87</v>
      </c>
      <c r="Q7" s="1" t="str" cm="1">
        <f t="array" ref="Q7:U7">_xlfn.IFS(L7:P7&lt;=50,"D",L7:P7&lt;=70,"C",L7:P7&lt;=80,"B",L7:P7&lt;=90,"A",L7:P7&lt;=95,"A+")</f>
        <v>B</v>
      </c>
      <c r="R7" s="1" t="str">
        <v>A</v>
      </c>
      <c r="S7" s="1" t="str">
        <v>A</v>
      </c>
      <c r="T7" s="1" t="str">
        <v>A</v>
      </c>
      <c r="U7" s="1" t="str">
        <v>A</v>
      </c>
    </row>
    <row r="8" spans="1:21" ht="18.75" customHeight="1">
      <c r="C8" s="20"/>
    </row>
    <row r="10" spans="1:21">
      <c r="A10" s="122" t="s">
        <v>27</v>
      </c>
      <c r="B10" s="123"/>
      <c r="C10" s="123"/>
      <c r="D10" s="123"/>
      <c r="E10" s="123"/>
      <c r="F10" s="123"/>
      <c r="G10" s="123"/>
      <c r="H10" s="123"/>
      <c r="I10" s="123"/>
      <c r="J10" s="123"/>
      <c r="K10" s="123"/>
      <c r="L10" s="123"/>
      <c r="M10" s="123"/>
      <c r="O10" s="114" t="s">
        <v>159</v>
      </c>
      <c r="P10" s="115"/>
      <c r="Q10" s="115"/>
      <c r="R10" s="115"/>
      <c r="S10" s="115"/>
      <c r="T10" s="115"/>
      <c r="U10" s="115"/>
    </row>
    <row r="11" spans="1:21" ht="12.75" customHeight="1">
      <c r="A11" s="22"/>
      <c r="B11" s="22"/>
      <c r="C11" s="22"/>
      <c r="D11" s="22"/>
      <c r="E11" s="22"/>
      <c r="F11" s="22"/>
      <c r="G11" s="22"/>
      <c r="H11" s="22"/>
      <c r="I11" s="22"/>
    </row>
    <row r="12" spans="1:21">
      <c r="A12" s="96" t="s">
        <v>12</v>
      </c>
      <c r="B12" s="96" t="s">
        <v>13</v>
      </c>
      <c r="C12" s="96" t="s">
        <v>14</v>
      </c>
      <c r="D12" s="96" t="s">
        <v>15</v>
      </c>
      <c r="E12" s="96" t="s">
        <v>149</v>
      </c>
      <c r="F12" s="96" t="s">
        <v>17</v>
      </c>
      <c r="G12" s="96" t="s">
        <v>147</v>
      </c>
      <c r="I12" s="97" t="s">
        <v>150</v>
      </c>
      <c r="J12" s="98" t="s">
        <v>151</v>
      </c>
      <c r="K12" s="99" t="s">
        <v>152</v>
      </c>
      <c r="L12" s="98" t="s">
        <v>153</v>
      </c>
      <c r="M12" s="98" t="s">
        <v>3</v>
      </c>
      <c r="O12" s="101" t="s">
        <v>12</v>
      </c>
      <c r="P12" s="101" t="s">
        <v>13</v>
      </c>
      <c r="Q12" s="101" t="s">
        <v>14</v>
      </c>
      <c r="R12" s="101" t="s">
        <v>15</v>
      </c>
      <c r="S12" s="101" t="s">
        <v>16</v>
      </c>
      <c r="T12" s="101" t="s">
        <v>17</v>
      </c>
      <c r="U12" s="101" t="s">
        <v>160</v>
      </c>
    </row>
    <row r="13" spans="1:21" ht="20.25" customHeight="1">
      <c r="A13" s="1" t="s">
        <v>148</v>
      </c>
      <c r="B13" s="1">
        <v>95</v>
      </c>
      <c r="C13" s="1">
        <v>96</v>
      </c>
      <c r="D13" s="1">
        <v>88</v>
      </c>
      <c r="E13" s="1">
        <v>98</v>
      </c>
      <c r="F13" s="1">
        <v>99</v>
      </c>
      <c r="G13" s="1" t="str" cm="1">
        <f t="array" ref="G13">IF(AND(B13:F13&gt;=50),"pass","fail")</f>
        <v>pass</v>
      </c>
      <c r="I13" s="1" t="s">
        <v>154</v>
      </c>
      <c r="J13" s="1">
        <v>50</v>
      </c>
      <c r="K13" s="1">
        <v>60</v>
      </c>
      <c r="L13" s="1">
        <v>70</v>
      </c>
      <c r="M13" s="1" t="str">
        <f>IF(AND(J13&gt;=50,K13&gt;=90,L13&gt;=65),"good","bad")</f>
        <v>bad</v>
      </c>
      <c r="O13" s="1" t="s">
        <v>5</v>
      </c>
      <c r="P13" s="1">
        <v>80</v>
      </c>
      <c r="Q13" s="1">
        <v>70</v>
      </c>
      <c r="R13" s="1">
        <v>60</v>
      </c>
      <c r="S13" s="1">
        <v>90</v>
      </c>
      <c r="T13" s="1">
        <v>50</v>
      </c>
      <c r="U13" s="1" t="str" cm="1">
        <f t="array" ref="U13">IF(OR(P13:T13&gt;=50),"pass","fail")</f>
        <v>pass</v>
      </c>
    </row>
    <row r="14" spans="1:21">
      <c r="A14" s="1" t="s">
        <v>107</v>
      </c>
      <c r="B14" s="1">
        <v>88</v>
      </c>
      <c r="C14" s="1">
        <v>99</v>
      </c>
      <c r="D14" s="1">
        <v>65</v>
      </c>
      <c r="E14" s="1">
        <v>75</v>
      </c>
      <c r="F14" s="1">
        <v>82</v>
      </c>
      <c r="G14" s="1" t="str" cm="1">
        <f t="array" ref="G14">IF(AND(B14:F14&gt;=50),"pass","fail")</f>
        <v>pass</v>
      </c>
      <c r="I14" s="1" t="s">
        <v>155</v>
      </c>
      <c r="J14" s="1">
        <v>70</v>
      </c>
      <c r="K14" s="1">
        <v>80</v>
      </c>
      <c r="L14" s="1">
        <v>100</v>
      </c>
      <c r="M14" s="1" t="str">
        <f t="shared" ref="M14:M17" si="3">IF(AND(J14&gt;=50,K14&gt;=90,L14&gt;=65),"good","bad")</f>
        <v>bad</v>
      </c>
      <c r="O14" s="1" t="s">
        <v>6</v>
      </c>
      <c r="P14" s="1">
        <v>65</v>
      </c>
      <c r="Q14" s="1">
        <v>85</v>
      </c>
      <c r="R14" s="1">
        <v>75</v>
      </c>
      <c r="S14" s="1">
        <v>95</v>
      </c>
      <c r="T14" s="1">
        <v>55</v>
      </c>
      <c r="U14" s="1" t="str" cm="1">
        <f t="array" ref="U14">IF(OR(P14:T14&gt;=50),"pass","fail")</f>
        <v>pass</v>
      </c>
    </row>
    <row r="15" spans="1:21">
      <c r="A15" s="1" t="s">
        <v>103</v>
      </c>
      <c r="B15" s="1">
        <v>99</v>
      </c>
      <c r="C15" s="1">
        <v>87</v>
      </c>
      <c r="D15" s="1">
        <v>88</v>
      </c>
      <c r="E15" s="1">
        <v>95</v>
      </c>
      <c r="F15" s="1">
        <v>98</v>
      </c>
      <c r="G15" s="1" t="str" cm="1">
        <f t="array" ref="G15">IF(AND(B15:F15&gt;=50),"pass","fail")</f>
        <v>pass</v>
      </c>
      <c r="I15" s="1" t="s">
        <v>158</v>
      </c>
      <c r="J15" s="1">
        <v>65</v>
      </c>
      <c r="K15" s="1">
        <v>95</v>
      </c>
      <c r="L15" s="1">
        <v>85</v>
      </c>
      <c r="M15" s="1" t="str">
        <f t="shared" si="3"/>
        <v>good</v>
      </c>
      <c r="O15" s="1" t="s">
        <v>103</v>
      </c>
      <c r="P15" s="1">
        <v>48</v>
      </c>
      <c r="Q15" s="1">
        <v>49</v>
      </c>
      <c r="R15" s="1">
        <v>46</v>
      </c>
      <c r="S15" s="1">
        <v>44</v>
      </c>
      <c r="T15" s="1">
        <v>43</v>
      </c>
      <c r="U15" s="1" t="str" cm="1">
        <f t="array" ref="U15">IF(OR(P15:T15&gt;=50),"pass","fail")</f>
        <v>fail</v>
      </c>
    </row>
    <row r="16" spans="1:21">
      <c r="A16" s="1" t="s">
        <v>108</v>
      </c>
      <c r="B16" s="1">
        <v>89</v>
      </c>
      <c r="C16" s="1">
        <v>79</v>
      </c>
      <c r="D16" s="1">
        <v>99</v>
      </c>
      <c r="E16" s="1">
        <v>95</v>
      </c>
      <c r="F16" s="1">
        <v>87</v>
      </c>
      <c r="G16" s="1" t="str" cm="1">
        <f t="array" ref="G16">IF(AND(B16:F16&gt;=50),"pass","fail")</f>
        <v>pass</v>
      </c>
      <c r="I16" s="1" t="s">
        <v>157</v>
      </c>
      <c r="J16" s="1">
        <v>120</v>
      </c>
      <c r="K16" s="1">
        <v>150</v>
      </c>
      <c r="L16" s="1">
        <v>180</v>
      </c>
      <c r="M16" s="1" t="str">
        <f t="shared" si="3"/>
        <v>good</v>
      </c>
      <c r="O16" s="1" t="s">
        <v>161</v>
      </c>
      <c r="P16" s="1">
        <v>89</v>
      </c>
      <c r="Q16" s="1">
        <v>79</v>
      </c>
      <c r="R16" s="1">
        <v>68</v>
      </c>
      <c r="S16" s="1">
        <v>84</v>
      </c>
      <c r="T16" s="1">
        <v>76</v>
      </c>
      <c r="U16" s="1" t="str" cm="1">
        <f t="array" ref="U16">IF(OR(P16:T16&gt;=50),"pass","fail")</f>
        <v>pass</v>
      </c>
    </row>
    <row r="17" spans="1:21">
      <c r="A17" s="1" t="s">
        <v>109</v>
      </c>
      <c r="B17" s="1">
        <v>98</v>
      </c>
      <c r="C17" s="1">
        <v>88</v>
      </c>
      <c r="D17" s="1">
        <v>77</v>
      </c>
      <c r="E17" s="1">
        <v>93</v>
      </c>
      <c r="F17" s="1">
        <v>87</v>
      </c>
      <c r="G17" s="1" t="str" cm="1">
        <f t="array" ref="G17">IF(AND(B17:F17&gt;=50),"pass","fail")</f>
        <v>pass</v>
      </c>
      <c r="I17" s="1" t="s">
        <v>156</v>
      </c>
      <c r="J17" s="1">
        <v>130</v>
      </c>
      <c r="K17" s="1">
        <v>170</v>
      </c>
      <c r="L17" s="1">
        <v>140</v>
      </c>
      <c r="M17" s="1" t="str">
        <f t="shared" si="3"/>
        <v>good</v>
      </c>
      <c r="O17" s="1" t="s">
        <v>134</v>
      </c>
      <c r="P17" s="1">
        <v>76</v>
      </c>
      <c r="Q17" s="1">
        <v>77</v>
      </c>
      <c r="R17" s="1">
        <v>98</v>
      </c>
      <c r="S17" s="1">
        <v>87</v>
      </c>
      <c r="T17" s="1">
        <v>69</v>
      </c>
      <c r="U17" s="1" t="str" cm="1">
        <f t="array" ref="U17">IF(OR(P17:T17&gt;=50),"pass","fail")</f>
        <v>pass</v>
      </c>
    </row>
    <row r="19" spans="1:21">
      <c r="A19" s="116" t="s">
        <v>162</v>
      </c>
      <c r="B19" s="117"/>
      <c r="C19" s="117"/>
      <c r="D19" s="117"/>
      <c r="E19" s="117"/>
      <c r="F19" s="117"/>
      <c r="G19" s="117"/>
      <c r="H19" s="117"/>
      <c r="I19" s="117"/>
    </row>
    <row r="21" spans="1:21">
      <c r="A21" s="100" t="s">
        <v>12</v>
      </c>
      <c r="B21" s="100" t="s">
        <v>13</v>
      </c>
      <c r="C21" s="100" t="s">
        <v>14</v>
      </c>
      <c r="D21" s="100" t="s">
        <v>15</v>
      </c>
      <c r="E21" s="100" t="s">
        <v>16</v>
      </c>
      <c r="F21" s="100" t="s">
        <v>17</v>
      </c>
      <c r="G21" s="100" t="s">
        <v>163</v>
      </c>
      <c r="H21" s="100" t="s">
        <v>147</v>
      </c>
      <c r="I21" s="100" t="s">
        <v>164</v>
      </c>
    </row>
    <row r="22" spans="1:21">
      <c r="A22" s="1" t="s">
        <v>148</v>
      </c>
      <c r="B22" s="1">
        <v>95</v>
      </c>
      <c r="C22" s="1">
        <v>96</v>
      </c>
      <c r="D22" s="1">
        <v>88</v>
      </c>
      <c r="E22" s="1">
        <v>98</v>
      </c>
      <c r="F22" s="1">
        <v>99</v>
      </c>
      <c r="G22" s="1">
        <f>SUM(B22:F22)</f>
        <v>476</v>
      </c>
      <c r="H22" s="1" t="str" cm="1">
        <f t="array" ref="H22">IF(OR(B22:F22&gt;=50),"pass","fail")</f>
        <v>pass</v>
      </c>
      <c r="I22" s="1">
        <f>IF(H22="PASS",RANK(G22,G22:G31,0),"NO RANK")</f>
        <v>1</v>
      </c>
    </row>
    <row r="23" spans="1:21">
      <c r="A23" s="1" t="s">
        <v>107</v>
      </c>
      <c r="B23" s="1">
        <v>88</v>
      </c>
      <c r="C23" s="1">
        <v>99</v>
      </c>
      <c r="D23" s="1">
        <v>65</v>
      </c>
      <c r="E23" s="1">
        <v>75</v>
      </c>
      <c r="F23" s="1">
        <v>82</v>
      </c>
      <c r="G23" s="1">
        <f t="shared" ref="G23:G31" si="4">SUM(B23:F23)</f>
        <v>409</v>
      </c>
      <c r="H23" s="1" t="str" cm="1">
        <f t="array" ref="H23">IF(OR(B23:F23&gt;=50),"pass","fail")</f>
        <v>pass</v>
      </c>
      <c r="I23" s="1">
        <f>IF(H23="PASS",RANK(G23,G23:G32,0),"NO RANK")</f>
        <v>4</v>
      </c>
    </row>
    <row r="24" spans="1:21">
      <c r="A24" s="1" t="s">
        <v>103</v>
      </c>
      <c r="B24" s="1">
        <v>99</v>
      </c>
      <c r="C24" s="1">
        <v>87</v>
      </c>
      <c r="D24" s="1">
        <v>88</v>
      </c>
      <c r="E24" s="1">
        <v>95</v>
      </c>
      <c r="F24" s="1">
        <v>98</v>
      </c>
      <c r="G24" s="1">
        <f t="shared" si="4"/>
        <v>467</v>
      </c>
      <c r="H24" s="1" t="str" cm="1">
        <f t="array" ref="H24">IF(OR(B24:F24&gt;=50),"pass","fail")</f>
        <v>pass</v>
      </c>
      <c r="I24" s="1">
        <f>IF(H24="PASS",RANK(G24,G24:G33,0),"NO RANK")</f>
        <v>1</v>
      </c>
    </row>
    <row r="25" spans="1:21">
      <c r="A25" s="1" t="s">
        <v>108</v>
      </c>
      <c r="B25" s="1">
        <v>89</v>
      </c>
      <c r="C25" s="1">
        <v>79</v>
      </c>
      <c r="D25" s="1">
        <v>99</v>
      </c>
      <c r="E25" s="1">
        <v>95</v>
      </c>
      <c r="F25" s="1">
        <v>87</v>
      </c>
      <c r="G25" s="1">
        <f t="shared" si="4"/>
        <v>449</v>
      </c>
      <c r="H25" s="1" t="str" cm="1">
        <f t="array" ref="H25">IF(OR(B25:F25&gt;=50),"pass","fail")</f>
        <v>pass</v>
      </c>
      <c r="I25" s="1">
        <f t="shared" ref="I25:I30" si="5">IF(H25="PASS",RANK(G25,G25:G34,0),"NO RANK")</f>
        <v>1</v>
      </c>
    </row>
    <row r="26" spans="1:21">
      <c r="A26" s="1" t="s">
        <v>109</v>
      </c>
      <c r="B26" s="1">
        <v>98</v>
      </c>
      <c r="C26" s="1">
        <v>88</v>
      </c>
      <c r="D26" s="1">
        <v>77</v>
      </c>
      <c r="E26" s="1">
        <v>93</v>
      </c>
      <c r="F26" s="1">
        <v>87</v>
      </c>
      <c r="G26" s="1">
        <f t="shared" si="4"/>
        <v>443</v>
      </c>
      <c r="H26" s="1" t="str" cm="1">
        <f t="array" ref="H26">IF(OR(B26:F26&gt;=50),"pass","fail")</f>
        <v>pass</v>
      </c>
      <c r="I26" s="1">
        <f t="shared" si="5"/>
        <v>1</v>
      </c>
    </row>
    <row r="27" spans="1:21">
      <c r="A27" s="1" t="s">
        <v>5</v>
      </c>
      <c r="B27" s="1">
        <v>80</v>
      </c>
      <c r="C27" s="1">
        <v>70</v>
      </c>
      <c r="D27" s="1">
        <v>60</v>
      </c>
      <c r="E27" s="1">
        <v>90</v>
      </c>
      <c r="F27" s="1">
        <v>50</v>
      </c>
      <c r="G27" s="1">
        <f t="shared" si="4"/>
        <v>350</v>
      </c>
      <c r="H27" s="1" t="str" cm="1">
        <f t="array" ref="H27">IF(OR(B27:F27&gt;=50),"pass","fail")</f>
        <v>pass</v>
      </c>
      <c r="I27" s="1">
        <f t="shared" si="5"/>
        <v>4</v>
      </c>
    </row>
    <row r="28" spans="1:21">
      <c r="A28" s="1" t="s">
        <v>6</v>
      </c>
      <c r="B28" s="1">
        <v>65</v>
      </c>
      <c r="C28" s="1">
        <v>85</v>
      </c>
      <c r="D28" s="1">
        <v>75</v>
      </c>
      <c r="E28" s="1">
        <v>95</v>
      </c>
      <c r="F28" s="1">
        <v>55</v>
      </c>
      <c r="G28" s="1">
        <f t="shared" si="4"/>
        <v>375</v>
      </c>
      <c r="H28" s="1" t="str" cm="1">
        <f t="array" ref="H28">IF(OR(B28:F28&gt;=50),"pass","fail")</f>
        <v>pass</v>
      </c>
      <c r="I28" s="1">
        <f t="shared" si="5"/>
        <v>3</v>
      </c>
    </row>
    <row r="29" spans="1:21">
      <c r="A29" s="1" t="s">
        <v>103</v>
      </c>
      <c r="B29" s="1">
        <v>48</v>
      </c>
      <c r="C29" s="1">
        <v>49</v>
      </c>
      <c r="D29" s="1">
        <v>46</v>
      </c>
      <c r="E29" s="1">
        <v>44</v>
      </c>
      <c r="F29" s="1">
        <v>43</v>
      </c>
      <c r="G29" s="1">
        <f t="shared" si="4"/>
        <v>230</v>
      </c>
      <c r="H29" s="1" t="str" cm="1">
        <f t="array" ref="H29">IF(OR(B29:F29&gt;=50),"pass","fail")</f>
        <v>fail</v>
      </c>
      <c r="I29" s="1" t="str">
        <f t="shared" si="5"/>
        <v>NO RANK</v>
      </c>
    </row>
    <row r="30" spans="1:21">
      <c r="A30" s="1" t="s">
        <v>161</v>
      </c>
      <c r="B30" s="1">
        <v>89</v>
      </c>
      <c r="C30" s="1">
        <v>79</v>
      </c>
      <c r="D30" s="1">
        <v>68</v>
      </c>
      <c r="E30" s="1">
        <v>84</v>
      </c>
      <c r="F30" s="1">
        <v>76</v>
      </c>
      <c r="G30" s="1">
        <f t="shared" si="4"/>
        <v>396</v>
      </c>
      <c r="H30" s="1" t="str" cm="1">
        <f t="array" ref="H30">IF(OR(B30:F30&gt;=50),"pass","fail")</f>
        <v>pass</v>
      </c>
      <c r="I30" s="1">
        <f t="shared" si="5"/>
        <v>2</v>
      </c>
    </row>
    <row r="31" spans="1:21">
      <c r="A31" s="1" t="s">
        <v>134</v>
      </c>
      <c r="B31" s="1">
        <v>76</v>
      </c>
      <c r="C31" s="1">
        <v>77</v>
      </c>
      <c r="D31" s="1">
        <v>98</v>
      </c>
      <c r="E31" s="1">
        <v>87</v>
      </c>
      <c r="F31" s="1">
        <v>69</v>
      </c>
      <c r="G31" s="1">
        <f t="shared" si="4"/>
        <v>407</v>
      </c>
      <c r="H31" s="1" t="str" cm="1">
        <f t="array" ref="H31">IF(OR(B31:F31&gt;=50),"pass","fail")</f>
        <v>pass</v>
      </c>
      <c r="I31" s="1">
        <f>IF(H31="PASS",RANK(G31,G31:G40,0),"NO RANK")</f>
        <v>1</v>
      </c>
    </row>
  </sheetData>
  <mergeCells count="6">
    <mergeCell ref="O10:U10"/>
    <mergeCell ref="A19:I19"/>
    <mergeCell ref="K1:U1"/>
    <mergeCell ref="F2:I2"/>
    <mergeCell ref="A1:I1"/>
    <mergeCell ref="A10:M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A28E0-6740-4AF5-8183-CAA20B0EC7CA}">
  <dimension ref="A1:T19"/>
  <sheetViews>
    <sheetView workbookViewId="0">
      <selection activeCell="A2" sqref="A2"/>
    </sheetView>
  </sheetViews>
  <sheetFormatPr defaultRowHeight="15"/>
  <cols>
    <col min="1" max="1" width="15" customWidth="1"/>
    <col min="2" max="2" width="12.140625" bestFit="1" customWidth="1"/>
    <col min="4" max="4" width="14.5703125" customWidth="1"/>
    <col min="5" max="5" width="12.140625" bestFit="1" customWidth="1"/>
  </cols>
  <sheetData>
    <row r="1" spans="1:20">
      <c r="A1" s="124" t="s">
        <v>254</v>
      </c>
      <c r="B1" s="125"/>
      <c r="C1" s="125"/>
      <c r="D1" s="125"/>
      <c r="E1" s="125"/>
      <c r="F1" s="125"/>
      <c r="G1" s="125"/>
      <c r="H1" s="125"/>
      <c r="I1" s="125"/>
      <c r="J1" s="125"/>
      <c r="K1" s="125"/>
      <c r="L1" s="125"/>
      <c r="M1" s="125"/>
      <c r="N1" s="125"/>
      <c r="O1" s="125"/>
      <c r="P1" s="125"/>
      <c r="Q1" s="125"/>
      <c r="R1" s="125"/>
      <c r="S1" s="125"/>
      <c r="T1" s="125"/>
    </row>
    <row r="3" spans="1:20">
      <c r="A3" s="7" t="s">
        <v>28</v>
      </c>
      <c r="D3" s="7" t="s">
        <v>32</v>
      </c>
    </row>
    <row r="4" spans="1:20">
      <c r="A4" s="1" t="s">
        <v>29</v>
      </c>
      <c r="B4" s="1">
        <v>500000</v>
      </c>
      <c r="D4" s="1" t="s">
        <v>29</v>
      </c>
      <c r="E4" s="1">
        <v>500000</v>
      </c>
    </row>
    <row r="5" spans="1:20">
      <c r="A5" s="1" t="s">
        <v>30</v>
      </c>
      <c r="B5" s="3">
        <v>0.08</v>
      </c>
      <c r="D5" s="1" t="s">
        <v>30</v>
      </c>
      <c r="E5" s="3">
        <v>0.09</v>
      </c>
    </row>
    <row r="6" spans="1:20">
      <c r="A6" s="1" t="s">
        <v>31</v>
      </c>
      <c r="B6" s="1">
        <v>60</v>
      </c>
      <c r="D6" s="1" t="s">
        <v>31</v>
      </c>
      <c r="E6" s="1">
        <v>60</v>
      </c>
    </row>
    <row r="7" spans="1:20">
      <c r="A7" s="1" t="s">
        <v>28</v>
      </c>
      <c r="B7" s="5">
        <f>PMT(B5/12,B6,-B4)</f>
        <v>10138.197144206841</v>
      </c>
      <c r="D7" s="1" t="s">
        <v>28</v>
      </c>
      <c r="E7" s="5">
        <f>PMT(E5/12,E6,-E4)</f>
        <v>10379.177613177004</v>
      </c>
      <c r="I7" s="4"/>
    </row>
    <row r="9" spans="1:20">
      <c r="A9" s="8" t="s">
        <v>33</v>
      </c>
      <c r="D9" s="9" t="s">
        <v>34</v>
      </c>
    </row>
    <row r="10" spans="1:20">
      <c r="A10" s="1" t="s">
        <v>29</v>
      </c>
      <c r="B10" s="1">
        <v>5000</v>
      </c>
      <c r="D10" s="1" t="s">
        <v>28</v>
      </c>
      <c r="E10" s="1">
        <v>17088.810000000001</v>
      </c>
    </row>
    <row r="11" spans="1:20">
      <c r="A11" s="1" t="s">
        <v>30</v>
      </c>
      <c r="B11" s="3">
        <v>0.08</v>
      </c>
      <c r="D11" s="1" t="s">
        <v>30</v>
      </c>
      <c r="E11" s="3">
        <v>0.14000000000000001</v>
      </c>
    </row>
    <row r="12" spans="1:20">
      <c r="A12" s="1" t="s">
        <v>31</v>
      </c>
      <c r="B12" s="1">
        <v>60</v>
      </c>
      <c r="D12" s="1" t="s">
        <v>31</v>
      </c>
      <c r="E12" s="1">
        <v>36</v>
      </c>
    </row>
    <row r="13" spans="1:20">
      <c r="A13" s="1" t="s">
        <v>33</v>
      </c>
      <c r="B13" s="5">
        <f>FV(B11/12,B12,-B10)</f>
        <v>367384.28122620453</v>
      </c>
      <c r="D13" s="1" t="s">
        <v>34</v>
      </c>
      <c r="E13" s="5">
        <f>PV(E11/12,E12,-E10)</f>
        <v>499999.8572454321</v>
      </c>
    </row>
    <row r="15" spans="1:20">
      <c r="A15" s="10" t="s">
        <v>31</v>
      </c>
    </row>
    <row r="16" spans="1:20">
      <c r="A16" s="1" t="s">
        <v>29</v>
      </c>
      <c r="B16" s="1">
        <v>100000</v>
      </c>
    </row>
    <row r="17" spans="1:2">
      <c r="A17" s="1" t="s">
        <v>30</v>
      </c>
      <c r="B17" s="3">
        <v>7.0000000000000007E-2</v>
      </c>
    </row>
    <row r="18" spans="1:2">
      <c r="A18" s="1" t="s">
        <v>28</v>
      </c>
      <c r="B18" s="1">
        <v>2000</v>
      </c>
    </row>
    <row r="19" spans="1:2">
      <c r="A19" s="1" t="s">
        <v>31</v>
      </c>
      <c r="B19" s="6">
        <f>NPER(B17/12,B18,-B16)</f>
        <v>59.287765035203044</v>
      </c>
    </row>
  </sheetData>
  <mergeCells count="1">
    <mergeCell ref="A1:T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33A57-94F1-4E9D-8373-B3E24AF5A589}">
  <dimension ref="A1:O36"/>
  <sheetViews>
    <sheetView workbookViewId="0">
      <selection activeCell="H14" sqref="H14"/>
    </sheetView>
  </sheetViews>
  <sheetFormatPr defaultRowHeight="15"/>
  <cols>
    <col min="1" max="1" width="15.5703125" bestFit="1" customWidth="1"/>
    <col min="2" max="2" width="12.5703125" customWidth="1"/>
    <col min="5" max="5" width="12.42578125" customWidth="1"/>
    <col min="6" max="6" width="13" customWidth="1"/>
  </cols>
  <sheetData>
    <row r="1" spans="1:15">
      <c r="A1" s="129" t="s">
        <v>35</v>
      </c>
      <c r="B1" s="129"/>
      <c r="C1" s="129"/>
      <c r="D1" s="129"/>
      <c r="E1" s="129"/>
      <c r="F1" s="129"/>
      <c r="G1" s="129"/>
      <c r="H1" s="129"/>
      <c r="I1" s="129"/>
      <c r="J1" s="129"/>
      <c r="K1" s="129"/>
      <c r="L1" s="129"/>
      <c r="M1" s="129"/>
      <c r="N1" s="129"/>
      <c r="O1" s="129"/>
    </row>
    <row r="2" spans="1:15">
      <c r="A2" s="15" t="s">
        <v>36</v>
      </c>
    </row>
    <row r="3" spans="1:15">
      <c r="A3" s="11">
        <f ca="1">TODAY()</f>
        <v>46308</v>
      </c>
      <c r="E3" s="127" t="s">
        <v>48</v>
      </c>
      <c r="F3" s="127"/>
    </row>
    <row r="4" spans="1:15">
      <c r="E4" s="128" t="s">
        <v>49</v>
      </c>
      <c r="F4" s="128"/>
    </row>
    <row r="5" spans="1:15">
      <c r="A5" s="15" t="s">
        <v>37</v>
      </c>
      <c r="E5" s="11">
        <v>45920</v>
      </c>
      <c r="F5" s="1">
        <f>WEEKDAY(E5)</f>
        <v>7</v>
      </c>
    </row>
    <row r="6" spans="1:15">
      <c r="A6" s="12">
        <f ca="1">NOW()</f>
        <v>46308.512074999999</v>
      </c>
      <c r="E6" s="11">
        <v>38518</v>
      </c>
      <c r="F6" s="1">
        <f t="shared" ref="F6:F8" si="0">WEEKDAY(E6)</f>
        <v>4</v>
      </c>
    </row>
    <row r="7" spans="1:15">
      <c r="E7" s="11">
        <v>41273</v>
      </c>
      <c r="F7" s="1">
        <f t="shared" si="0"/>
        <v>1</v>
      </c>
    </row>
    <row r="8" spans="1:15">
      <c r="A8" s="15" t="s">
        <v>38</v>
      </c>
      <c r="E8" s="11">
        <v>37360</v>
      </c>
      <c r="F8" s="1">
        <f t="shared" si="0"/>
        <v>1</v>
      </c>
    </row>
    <row r="9" spans="1:15">
      <c r="A9" s="11">
        <f>DATE(2026,9,5)</f>
        <v>46270</v>
      </c>
    </row>
    <row r="10" spans="1:15">
      <c r="E10" s="127" t="s">
        <v>50</v>
      </c>
      <c r="F10" s="127"/>
      <c r="G10" s="127"/>
      <c r="H10" s="127"/>
    </row>
    <row r="11" spans="1:15">
      <c r="A11" s="126" t="s">
        <v>39</v>
      </c>
      <c r="B11" s="126"/>
      <c r="E11" s="11">
        <v>37360</v>
      </c>
      <c r="F11" s="11">
        <v>37728</v>
      </c>
      <c r="G11" s="1">
        <f>DATEDIF(E11,F11,"YD")</f>
        <v>3</v>
      </c>
      <c r="H11" s="1" t="s">
        <v>41</v>
      </c>
    </row>
    <row r="12" spans="1:15">
      <c r="A12" s="11">
        <v>46270</v>
      </c>
      <c r="B12" s="1">
        <f>DAY(A12)</f>
        <v>5</v>
      </c>
      <c r="E12" s="11">
        <v>38696</v>
      </c>
      <c r="F12" s="11">
        <v>39066</v>
      </c>
      <c r="G12" s="1">
        <f t="shared" ref="G12:G13" si="1">DATEDIF(E12,F12,"YD")</f>
        <v>5</v>
      </c>
      <c r="H12" s="1" t="s">
        <v>40</v>
      </c>
    </row>
    <row r="13" spans="1:15">
      <c r="E13" s="11">
        <v>28532</v>
      </c>
      <c r="F13" s="11">
        <v>28907</v>
      </c>
      <c r="G13" s="1">
        <f t="shared" si="1"/>
        <v>10</v>
      </c>
      <c r="H13" s="1" t="s">
        <v>191</v>
      </c>
    </row>
    <row r="14" spans="1:15">
      <c r="A14" s="126" t="s">
        <v>40</v>
      </c>
      <c r="B14" s="126"/>
    </row>
    <row r="15" spans="1:15">
      <c r="A15" s="11">
        <v>46270</v>
      </c>
      <c r="B15" s="1">
        <f>MONTH(A15)</f>
        <v>9</v>
      </c>
    </row>
    <row r="17" spans="1:2">
      <c r="A17" s="126" t="s">
        <v>41</v>
      </c>
      <c r="B17" s="126"/>
    </row>
    <row r="18" spans="1:2">
      <c r="A18" s="11">
        <v>46270</v>
      </c>
      <c r="B18" s="1">
        <f>YEAR(A18)</f>
        <v>2026</v>
      </c>
    </row>
    <row r="20" spans="1:2">
      <c r="A20" s="15" t="s">
        <v>42</v>
      </c>
    </row>
    <row r="21" spans="1:2">
      <c r="A21" s="13">
        <f>TIME(12,35,58)</f>
        <v>0.52497685185185183</v>
      </c>
    </row>
    <row r="23" spans="1:2">
      <c r="A23" s="126" t="s">
        <v>43</v>
      </c>
      <c r="B23" s="126"/>
    </row>
    <row r="24" spans="1:2">
      <c r="A24" s="13">
        <v>0.57291666666666663</v>
      </c>
      <c r="B24" s="1">
        <f>HOUR(A24)</f>
        <v>13</v>
      </c>
    </row>
    <row r="26" spans="1:2">
      <c r="A26" s="126" t="s">
        <v>44</v>
      </c>
      <c r="B26" s="126"/>
    </row>
    <row r="27" spans="1:2">
      <c r="A27" s="13">
        <v>0.49305555555555558</v>
      </c>
      <c r="B27" s="1">
        <f>MINUTE(A27)</f>
        <v>50</v>
      </c>
    </row>
    <row r="29" spans="1:2">
      <c r="A29" s="126" t="s">
        <v>45</v>
      </c>
      <c r="B29" s="126"/>
    </row>
    <row r="30" spans="1:2">
      <c r="A30" s="14">
        <v>0.12891203703703705</v>
      </c>
      <c r="B30" s="1">
        <f>SECOND(A30)</f>
        <v>38</v>
      </c>
    </row>
    <row r="32" spans="1:2">
      <c r="A32" s="126" t="s">
        <v>46</v>
      </c>
      <c r="B32" s="126"/>
    </row>
    <row r="33" spans="1:2">
      <c r="A33" s="1">
        <f>DATEVALUE("05-09-2026")</f>
        <v>46270</v>
      </c>
      <c r="B33" s="11">
        <v>46270</v>
      </c>
    </row>
    <row r="35" spans="1:2">
      <c r="A35" s="126" t="s">
        <v>47</v>
      </c>
      <c r="B35" s="126"/>
    </row>
    <row r="36" spans="1:2">
      <c r="A36" s="1">
        <f>TIMEVALUE("12:35 PM")</f>
        <v>0.52430555555555558</v>
      </c>
      <c r="B36" s="13">
        <v>0.52430555555555558</v>
      </c>
    </row>
  </sheetData>
  <mergeCells count="12">
    <mergeCell ref="A1:O1"/>
    <mergeCell ref="A11:B11"/>
    <mergeCell ref="A14:B14"/>
    <mergeCell ref="A17:B17"/>
    <mergeCell ref="A23:B23"/>
    <mergeCell ref="A29:B29"/>
    <mergeCell ref="A35:B35"/>
    <mergeCell ref="A32:B32"/>
    <mergeCell ref="E3:F3"/>
    <mergeCell ref="E4:F4"/>
    <mergeCell ref="E10:H10"/>
    <mergeCell ref="A26:B2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8B19C-E4E0-4C49-AAB9-9C1836B069E3}">
  <dimension ref="A1:E22"/>
  <sheetViews>
    <sheetView workbookViewId="0">
      <selection activeCell="F30" sqref="F30"/>
    </sheetView>
  </sheetViews>
  <sheetFormatPr defaultRowHeight="15"/>
  <cols>
    <col min="1" max="1" width="16.42578125" customWidth="1"/>
    <col min="2" max="2" width="55.28515625" customWidth="1"/>
    <col min="3" max="3" width="12.85546875" customWidth="1"/>
    <col min="4" max="4" width="18.5703125" customWidth="1"/>
    <col min="5" max="5" width="13" customWidth="1"/>
  </cols>
  <sheetData>
    <row r="1" spans="1:5">
      <c r="A1" s="130" t="s">
        <v>52</v>
      </c>
      <c r="B1" s="131"/>
      <c r="C1" s="131"/>
      <c r="D1" s="131"/>
      <c r="E1" s="131"/>
    </row>
    <row r="2" spans="1:5">
      <c r="A2" s="16" t="s">
        <v>51</v>
      </c>
      <c r="B2" s="16" t="s">
        <v>53</v>
      </c>
      <c r="C2" s="16" t="s">
        <v>54</v>
      </c>
      <c r="D2" s="16" t="s">
        <v>55</v>
      </c>
      <c r="E2" s="16" t="s">
        <v>56</v>
      </c>
    </row>
    <row r="3" spans="1:5">
      <c r="A3" s="1" t="s">
        <v>58</v>
      </c>
      <c r="B3" s="1" t="s">
        <v>66</v>
      </c>
      <c r="C3" s="1">
        <v>78</v>
      </c>
      <c r="D3" s="1">
        <v>92</v>
      </c>
      <c r="E3" s="1" t="s">
        <v>68</v>
      </c>
    </row>
    <row r="4" spans="1:5">
      <c r="A4" s="1" t="s">
        <v>67</v>
      </c>
      <c r="B4" s="1" t="s">
        <v>66</v>
      </c>
      <c r="C4" s="1">
        <v>45</v>
      </c>
      <c r="D4" s="1">
        <v>75</v>
      </c>
      <c r="E4" s="1" t="s">
        <v>69</v>
      </c>
    </row>
    <row r="5" spans="1:5">
      <c r="A5" s="1" t="s">
        <v>57</v>
      </c>
      <c r="B5" s="1" t="s">
        <v>64</v>
      </c>
      <c r="C5" s="1">
        <v>91</v>
      </c>
      <c r="D5" s="1">
        <v>96</v>
      </c>
      <c r="E5" s="1" t="s">
        <v>68</v>
      </c>
    </row>
    <row r="6" spans="1:5">
      <c r="A6" s="1" t="s">
        <v>59</v>
      </c>
      <c r="B6" s="1" t="s">
        <v>65</v>
      </c>
      <c r="C6" s="1"/>
      <c r="D6" s="1">
        <v>82</v>
      </c>
      <c r="E6" s="1" t="s">
        <v>70</v>
      </c>
    </row>
    <row r="7" spans="1:5">
      <c r="A7" s="1" t="s">
        <v>60</v>
      </c>
      <c r="B7" s="1" t="s">
        <v>64</v>
      </c>
      <c r="C7" s="1">
        <v>72</v>
      </c>
      <c r="D7" s="1"/>
      <c r="E7" s="1" t="s">
        <v>68</v>
      </c>
    </row>
    <row r="8" spans="1:5">
      <c r="A8" s="1" t="s">
        <v>61</v>
      </c>
      <c r="B8" s="1" t="s">
        <v>66</v>
      </c>
      <c r="C8" s="1">
        <v>58</v>
      </c>
      <c r="D8" s="1">
        <v>85</v>
      </c>
      <c r="E8" s="1" t="s">
        <v>68</v>
      </c>
    </row>
    <row r="9" spans="1:5">
      <c r="A9" s="1" t="s">
        <v>62</v>
      </c>
      <c r="B9" s="1" t="s">
        <v>65</v>
      </c>
      <c r="C9" s="1">
        <v>39</v>
      </c>
      <c r="D9" s="1">
        <v>70</v>
      </c>
      <c r="E9" s="1" t="s">
        <v>69</v>
      </c>
    </row>
    <row r="10" spans="1:5">
      <c r="A10" s="1" t="s">
        <v>63</v>
      </c>
      <c r="B10" s="1" t="s">
        <v>66</v>
      </c>
      <c r="C10" s="1"/>
      <c r="D10" s="1">
        <v>89</v>
      </c>
      <c r="E10" s="1" t="s">
        <v>70</v>
      </c>
    </row>
    <row r="12" spans="1:5">
      <c r="A12" s="130" t="s">
        <v>71</v>
      </c>
      <c r="B12" s="131"/>
      <c r="C12" s="131"/>
    </row>
    <row r="13" spans="1:5">
      <c r="A13" s="1" t="s">
        <v>72</v>
      </c>
      <c r="B13" s="1" t="s">
        <v>76</v>
      </c>
      <c r="C13" s="1">
        <f>COUNT(C3:C10)</f>
        <v>6</v>
      </c>
    </row>
    <row r="14" spans="1:5" ht="15.75" customHeight="1">
      <c r="A14" s="1" t="s">
        <v>73</v>
      </c>
      <c r="B14" s="1" t="s">
        <v>77</v>
      </c>
      <c r="C14" s="1">
        <f>COUNTBLANK(C3:C10)</f>
        <v>2</v>
      </c>
    </row>
    <row r="15" spans="1:5">
      <c r="A15" s="1" t="s">
        <v>74</v>
      </c>
      <c r="B15" s="1" t="s">
        <v>78</v>
      </c>
      <c r="C15" s="1">
        <f>COUNTIF(B3:B10,"sales")</f>
        <v>4</v>
      </c>
    </row>
    <row r="16" spans="1:5" ht="30">
      <c r="A16" s="1" t="s">
        <v>75</v>
      </c>
      <c r="B16" s="2" t="s">
        <v>79</v>
      </c>
      <c r="C16" s="1">
        <f>COUNTIFS(B3:B10,"IT",C3:C10,"&gt;=80")</f>
        <v>1</v>
      </c>
    </row>
    <row r="18" spans="1:2">
      <c r="A18" s="132" t="s">
        <v>80</v>
      </c>
      <c r="B18" s="126"/>
    </row>
    <row r="19" spans="1:2">
      <c r="A19" s="1" t="s">
        <v>81</v>
      </c>
      <c r="B19" s="1">
        <v>6</v>
      </c>
    </row>
    <row r="20" spans="1:2">
      <c r="A20" s="1" t="s">
        <v>82</v>
      </c>
      <c r="B20" s="1">
        <v>2</v>
      </c>
    </row>
    <row r="21" spans="1:2">
      <c r="A21" s="1" t="s">
        <v>83</v>
      </c>
      <c r="B21" s="1">
        <v>4</v>
      </c>
    </row>
    <row r="22" spans="1:2">
      <c r="A22" s="1" t="s">
        <v>84</v>
      </c>
      <c r="B22" s="1">
        <v>1</v>
      </c>
    </row>
  </sheetData>
  <mergeCells count="3">
    <mergeCell ref="A1:E1"/>
    <mergeCell ref="A12:C12"/>
    <mergeCell ref="A18:B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737ED-4025-4DD4-910C-3E00862FC3CA}">
  <dimension ref="A1:P13"/>
  <sheetViews>
    <sheetView workbookViewId="0">
      <selection activeCell="B33" sqref="B33"/>
    </sheetView>
  </sheetViews>
  <sheetFormatPr defaultRowHeight="15"/>
  <cols>
    <col min="1" max="1" width="12" customWidth="1"/>
    <col min="2" max="2" width="23.28515625" customWidth="1"/>
    <col min="3" max="3" width="19.140625" customWidth="1"/>
    <col min="4" max="4" width="14.7109375" customWidth="1"/>
    <col min="5" max="5" width="14.85546875" customWidth="1"/>
    <col min="6" max="6" width="15" customWidth="1"/>
  </cols>
  <sheetData>
    <row r="1" spans="1:16">
      <c r="A1" s="133" t="s">
        <v>165</v>
      </c>
      <c r="B1" s="133"/>
      <c r="C1" s="133"/>
      <c r="D1" s="133"/>
      <c r="E1" s="133"/>
      <c r="F1" s="133"/>
      <c r="G1" s="133"/>
      <c r="H1" s="133"/>
      <c r="I1" s="133"/>
      <c r="J1" s="133"/>
      <c r="K1" s="133"/>
      <c r="L1" s="133"/>
      <c r="M1" s="133"/>
      <c r="N1" s="133"/>
      <c r="O1" s="133"/>
      <c r="P1" s="133"/>
    </row>
    <row r="3" spans="1:16">
      <c r="A3" s="19" t="s">
        <v>85</v>
      </c>
      <c r="B3" s="19" t="s">
        <v>86</v>
      </c>
      <c r="C3" s="19" t="s">
        <v>87</v>
      </c>
      <c r="D3" s="19" t="s">
        <v>88</v>
      </c>
      <c r="E3" s="19" t="s">
        <v>89</v>
      </c>
      <c r="F3" s="19" t="s">
        <v>90</v>
      </c>
    </row>
    <row r="4" spans="1:16">
      <c r="A4" s="1" t="s">
        <v>91</v>
      </c>
      <c r="B4" s="1" t="s">
        <v>103</v>
      </c>
      <c r="C4" s="1">
        <v>85</v>
      </c>
      <c r="D4" s="1" t="s">
        <v>102</v>
      </c>
      <c r="E4" s="1" t="s">
        <v>102</v>
      </c>
      <c r="F4" s="1" t="str">
        <f>IF(AND(C4&gt;=80,OR(D4="achieved",E4="achived")),"eligible","not eligible")</f>
        <v>eligible</v>
      </c>
    </row>
    <row r="5" spans="1:16">
      <c r="A5" s="1" t="s">
        <v>92</v>
      </c>
      <c r="B5" s="1" t="s">
        <v>104</v>
      </c>
      <c r="C5" s="1">
        <v>78</v>
      </c>
      <c r="D5" s="1" t="s">
        <v>102</v>
      </c>
      <c r="E5" s="1" t="s">
        <v>102</v>
      </c>
      <c r="F5" s="1" t="str">
        <f>IF(AND(C5&gt;=80,OR(D5="achieved",E5="achieved")),"eligible","not eligible")</f>
        <v>not eligible</v>
      </c>
    </row>
    <row r="6" spans="1:16">
      <c r="A6" s="1" t="s">
        <v>93</v>
      </c>
      <c r="B6" s="1" t="s">
        <v>105</v>
      </c>
      <c r="C6" s="1">
        <v>92</v>
      </c>
      <c r="D6" s="1" t="s">
        <v>101</v>
      </c>
      <c r="E6" s="1" t="s">
        <v>102</v>
      </c>
      <c r="F6" s="1" t="str">
        <f t="shared" ref="F6:F13" si="0">IF(AND(C6&gt;=80,OR(D6="achieved",E6="achieved")),"eligible","not eligible")</f>
        <v>eligible</v>
      </c>
    </row>
    <row r="7" spans="1:16">
      <c r="A7" s="1" t="s">
        <v>94</v>
      </c>
      <c r="B7" s="1" t="s">
        <v>106</v>
      </c>
      <c r="C7" s="1">
        <v>74</v>
      </c>
      <c r="D7" s="1" t="s">
        <v>101</v>
      </c>
      <c r="E7" s="1" t="s">
        <v>101</v>
      </c>
      <c r="F7" s="1" t="str">
        <f t="shared" si="0"/>
        <v>not eligible</v>
      </c>
    </row>
    <row r="8" spans="1:16">
      <c r="A8" s="1" t="s">
        <v>95</v>
      </c>
      <c r="B8" s="1" t="s">
        <v>107</v>
      </c>
      <c r="C8" s="1">
        <v>81</v>
      </c>
      <c r="D8" s="1" t="s">
        <v>102</v>
      </c>
      <c r="E8" s="1" t="s">
        <v>101</v>
      </c>
      <c r="F8" s="1" t="str">
        <f t="shared" si="0"/>
        <v>eligible</v>
      </c>
    </row>
    <row r="9" spans="1:16">
      <c r="A9" s="1" t="s">
        <v>96</v>
      </c>
      <c r="B9" s="1" t="s">
        <v>108</v>
      </c>
      <c r="C9" s="1">
        <v>88</v>
      </c>
      <c r="D9" s="1" t="s">
        <v>101</v>
      </c>
      <c r="E9" s="1" t="s">
        <v>101</v>
      </c>
      <c r="F9" s="1" t="str">
        <f t="shared" si="0"/>
        <v>not eligible</v>
      </c>
    </row>
    <row r="10" spans="1:16">
      <c r="A10" s="1" t="s">
        <v>97</v>
      </c>
      <c r="B10" s="1" t="s">
        <v>109</v>
      </c>
      <c r="C10" s="1">
        <v>79</v>
      </c>
      <c r="D10" s="1" t="s">
        <v>102</v>
      </c>
      <c r="E10" s="1" t="s">
        <v>102</v>
      </c>
      <c r="F10" s="1" t="str">
        <f t="shared" si="0"/>
        <v>not eligible</v>
      </c>
    </row>
    <row r="11" spans="1:16">
      <c r="A11" s="1" t="s">
        <v>98</v>
      </c>
      <c r="B11" s="1" t="s">
        <v>110</v>
      </c>
      <c r="C11" s="1">
        <v>95</v>
      </c>
      <c r="D11" s="1" t="s">
        <v>102</v>
      </c>
      <c r="E11" s="1" t="s">
        <v>102</v>
      </c>
      <c r="F11" s="1" t="str">
        <f t="shared" si="0"/>
        <v>eligible</v>
      </c>
    </row>
    <row r="12" spans="1:16">
      <c r="A12" s="1" t="s">
        <v>99</v>
      </c>
      <c r="B12" s="1" t="s">
        <v>111</v>
      </c>
      <c r="C12" s="1">
        <v>83</v>
      </c>
      <c r="D12" s="1" t="s">
        <v>101</v>
      </c>
      <c r="E12" s="1" t="s">
        <v>102</v>
      </c>
      <c r="F12" s="1" t="str">
        <f t="shared" si="0"/>
        <v>eligible</v>
      </c>
    </row>
    <row r="13" spans="1:16">
      <c r="A13" s="1" t="s">
        <v>100</v>
      </c>
      <c r="B13" s="1" t="s">
        <v>112</v>
      </c>
      <c r="C13" s="1">
        <v>69</v>
      </c>
      <c r="D13" s="1" t="s">
        <v>102</v>
      </c>
      <c r="E13" s="1" t="s">
        <v>101</v>
      </c>
      <c r="F13" s="1" t="str">
        <f t="shared" si="0"/>
        <v>not eligible</v>
      </c>
    </row>
  </sheetData>
  <mergeCells count="1">
    <mergeCell ref="A1:P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9CDF7-E639-4C76-B8F1-9F816B6233D1}">
  <dimension ref="A1:D15"/>
  <sheetViews>
    <sheetView workbookViewId="0">
      <selection activeCell="L27" sqref="L27"/>
    </sheetView>
  </sheetViews>
  <sheetFormatPr defaultRowHeight="15"/>
  <cols>
    <col min="1" max="1" width="16.5703125" customWidth="1"/>
  </cols>
  <sheetData>
    <row r="1" spans="1:4">
      <c r="A1" s="118" t="s">
        <v>166</v>
      </c>
      <c r="B1" s="119"/>
      <c r="C1" s="119"/>
      <c r="D1" s="119"/>
    </row>
    <row r="2" spans="1:4">
      <c r="A2" s="25" t="s">
        <v>51</v>
      </c>
      <c r="B2" s="25" t="s">
        <v>14</v>
      </c>
      <c r="C2" s="25" t="s">
        <v>15</v>
      </c>
      <c r="D2" s="25" t="s">
        <v>16</v>
      </c>
    </row>
    <row r="3" spans="1:4">
      <c r="A3" s="1" t="s">
        <v>58</v>
      </c>
      <c r="B3" s="1">
        <v>78</v>
      </c>
      <c r="C3" s="1">
        <v>83</v>
      </c>
      <c r="D3" s="1">
        <v>72</v>
      </c>
    </row>
    <row r="4" spans="1:4">
      <c r="A4" s="1" t="s">
        <v>67</v>
      </c>
      <c r="B4" s="1">
        <v>92</v>
      </c>
      <c r="C4" s="1">
        <v>88</v>
      </c>
      <c r="D4" s="1">
        <v>95</v>
      </c>
    </row>
    <row r="5" spans="1:4">
      <c r="A5" s="1" t="s">
        <v>57</v>
      </c>
      <c r="B5" s="1">
        <v>65</v>
      </c>
      <c r="C5" s="1">
        <v>74</v>
      </c>
      <c r="D5" s="1">
        <v>69</v>
      </c>
    </row>
    <row r="6" spans="1:4">
      <c r="A6" s="1" t="s">
        <v>59</v>
      </c>
      <c r="B6" s="1">
        <v>81</v>
      </c>
      <c r="C6" s="1">
        <v>79</v>
      </c>
      <c r="D6" s="1">
        <v>84</v>
      </c>
    </row>
    <row r="7" spans="1:4">
      <c r="A7" s="1" t="s">
        <v>60</v>
      </c>
      <c r="B7" s="1">
        <v>56</v>
      </c>
      <c r="C7" s="1">
        <v>63</v>
      </c>
      <c r="D7" s="1">
        <v>61</v>
      </c>
    </row>
    <row r="8" spans="1:4">
      <c r="A8" s="1" t="s">
        <v>61</v>
      </c>
      <c r="B8" s="1">
        <v>88</v>
      </c>
      <c r="C8" s="1">
        <v>91</v>
      </c>
      <c r="D8" s="1">
        <v>86</v>
      </c>
    </row>
    <row r="9" spans="1:4">
      <c r="A9" s="1" t="s">
        <v>62</v>
      </c>
      <c r="B9" s="1">
        <v>73</v>
      </c>
      <c r="C9" s="1">
        <v>68</v>
      </c>
      <c r="D9" s="1">
        <v>77</v>
      </c>
    </row>
    <row r="10" spans="1:4">
      <c r="A10" s="1" t="s">
        <v>63</v>
      </c>
      <c r="B10" s="1">
        <v>95</v>
      </c>
      <c r="C10" s="1">
        <v>94</v>
      </c>
      <c r="D10" s="1">
        <v>92</v>
      </c>
    </row>
    <row r="11" spans="1:4">
      <c r="A11" s="1"/>
      <c r="B11" s="1"/>
      <c r="C11" s="1"/>
      <c r="D11" s="1"/>
    </row>
    <row r="12" spans="1:4">
      <c r="A12" s="134" t="s">
        <v>169</v>
      </c>
      <c r="B12" s="135"/>
      <c r="C12" s="134">
        <f>MIN(B3:B10)</f>
        <v>56</v>
      </c>
      <c r="D12" s="135"/>
    </row>
    <row r="13" spans="1:4">
      <c r="A13" s="134" t="s">
        <v>167</v>
      </c>
      <c r="B13" s="135"/>
      <c r="C13" s="134">
        <f>MAX(C3:C10)</f>
        <v>94</v>
      </c>
      <c r="D13" s="135"/>
    </row>
    <row r="14" spans="1:4">
      <c r="A14" s="134" t="s">
        <v>170</v>
      </c>
      <c r="B14" s="135"/>
      <c r="C14" s="134">
        <f xml:space="preserve"> AVERAGE(D3:D10)</f>
        <v>79.5</v>
      </c>
      <c r="D14" s="135"/>
    </row>
    <row r="15" spans="1:4">
      <c r="A15" s="134" t="s">
        <v>168</v>
      </c>
      <c r="B15" s="135"/>
      <c r="C15" s="134">
        <f>COUNT(B3:B10)</f>
        <v>8</v>
      </c>
      <c r="D15" s="135"/>
    </row>
  </sheetData>
  <mergeCells count="9">
    <mergeCell ref="A1:D1"/>
    <mergeCell ref="A12:B12"/>
    <mergeCell ref="A13:B13"/>
    <mergeCell ref="A14:B14"/>
    <mergeCell ref="A15:B15"/>
    <mergeCell ref="C12:D12"/>
    <mergeCell ref="C13:D13"/>
    <mergeCell ref="C14:D14"/>
    <mergeCell ref="C15:D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74B0D-770B-432F-8901-58757970A98C}">
  <dimension ref="A1:O27"/>
  <sheetViews>
    <sheetView workbookViewId="0">
      <selection activeCell="I9" sqref="I9"/>
    </sheetView>
  </sheetViews>
  <sheetFormatPr defaultRowHeight="15"/>
  <cols>
    <col min="1" max="1" width="19.28515625" customWidth="1"/>
    <col min="2" max="2" width="18.28515625" customWidth="1"/>
    <col min="3" max="3" width="17.140625" customWidth="1"/>
    <col min="4" max="4" width="16.85546875" customWidth="1"/>
    <col min="5" max="5" width="19.7109375" customWidth="1"/>
  </cols>
  <sheetData>
    <row r="1" spans="1:10">
      <c r="A1" s="136" t="s">
        <v>171</v>
      </c>
      <c r="B1" s="136"/>
      <c r="C1" s="136"/>
      <c r="D1" s="136"/>
      <c r="E1" s="136"/>
    </row>
    <row r="3" spans="1:10">
      <c r="A3" s="1" t="s">
        <v>183</v>
      </c>
      <c r="B3" s="32">
        <f>SUMIF(B8:B19,"NISHA",E8:E19)</f>
        <v>26000</v>
      </c>
    </row>
    <row r="4" spans="1:10">
      <c r="A4" s="1" t="s">
        <v>83</v>
      </c>
      <c r="B4" s="1">
        <f>COUNTIF(B8:B19,"ARUN")</f>
        <v>2</v>
      </c>
    </row>
    <row r="5" spans="1:10">
      <c r="A5" s="1" t="s">
        <v>184</v>
      </c>
      <c r="B5" s="32">
        <f>AVERAGEIF(B8:B19,"ARUN",E8:E19)</f>
        <v>43000</v>
      </c>
    </row>
    <row r="6" spans="1:10">
      <c r="B6" s="29"/>
      <c r="C6" s="24"/>
    </row>
    <row r="7" spans="1:10">
      <c r="A7" s="31" t="s">
        <v>38</v>
      </c>
      <c r="B7" s="31" t="s">
        <v>172</v>
      </c>
      <c r="C7" s="31" t="s">
        <v>173</v>
      </c>
      <c r="D7" s="31" t="s">
        <v>174</v>
      </c>
      <c r="E7" s="31" t="s">
        <v>175</v>
      </c>
    </row>
    <row r="8" spans="1:10">
      <c r="A8" s="26">
        <v>46235</v>
      </c>
      <c r="B8" s="1" t="s">
        <v>148</v>
      </c>
      <c r="C8" s="1" t="s">
        <v>176</v>
      </c>
      <c r="D8" s="1" t="s">
        <v>180</v>
      </c>
      <c r="E8" s="34">
        <v>55000</v>
      </c>
    </row>
    <row r="9" spans="1:10" ht="15.75">
      <c r="A9" s="26">
        <v>46236</v>
      </c>
      <c r="B9" s="1" t="s">
        <v>185</v>
      </c>
      <c r="C9" s="27" t="s">
        <v>177</v>
      </c>
      <c r="D9" s="1" t="s">
        <v>181</v>
      </c>
      <c r="E9" s="37">
        <v>28000</v>
      </c>
    </row>
    <row r="10" spans="1:10" ht="15.75">
      <c r="A10" s="26">
        <v>46237</v>
      </c>
      <c r="B10" s="1" t="s">
        <v>103</v>
      </c>
      <c r="C10" s="27" t="s">
        <v>176</v>
      </c>
      <c r="D10" s="1" t="s">
        <v>180</v>
      </c>
      <c r="E10" s="36">
        <v>62000</v>
      </c>
    </row>
    <row r="11" spans="1:10">
      <c r="A11" s="26">
        <v>46238</v>
      </c>
      <c r="B11" s="1" t="s">
        <v>108</v>
      </c>
      <c r="C11" s="1" t="s">
        <v>178</v>
      </c>
      <c r="D11" s="1" t="s">
        <v>182</v>
      </c>
      <c r="E11" s="36">
        <v>32000</v>
      </c>
      <c r="J11" s="28"/>
    </row>
    <row r="12" spans="1:10">
      <c r="A12" s="26">
        <v>46239</v>
      </c>
      <c r="B12" s="1" t="s">
        <v>109</v>
      </c>
      <c r="C12" s="1" t="s">
        <v>176</v>
      </c>
      <c r="D12" s="1" t="s">
        <v>181</v>
      </c>
      <c r="E12" s="35">
        <v>24000</v>
      </c>
    </row>
    <row r="13" spans="1:10">
      <c r="A13" s="26">
        <v>46240</v>
      </c>
      <c r="B13" s="1" t="s">
        <v>5</v>
      </c>
      <c r="C13" s="1" t="s">
        <v>177</v>
      </c>
      <c r="D13" s="1" t="s">
        <v>180</v>
      </c>
      <c r="E13" s="35">
        <v>58000</v>
      </c>
    </row>
    <row r="14" spans="1:10">
      <c r="A14" s="26">
        <v>46241</v>
      </c>
      <c r="B14" s="1" t="s">
        <v>6</v>
      </c>
      <c r="C14" s="1" t="s">
        <v>179</v>
      </c>
      <c r="D14" s="1" t="s">
        <v>181</v>
      </c>
      <c r="E14" s="35">
        <v>26000</v>
      </c>
    </row>
    <row r="15" spans="1:10">
      <c r="A15" s="26">
        <v>46242</v>
      </c>
      <c r="B15" s="1" t="s">
        <v>103</v>
      </c>
      <c r="C15" s="1" t="s">
        <v>178</v>
      </c>
      <c r="D15" s="1" t="s">
        <v>180</v>
      </c>
      <c r="E15" s="35">
        <v>61000</v>
      </c>
    </row>
    <row r="16" spans="1:10">
      <c r="A16" s="26">
        <v>46243</v>
      </c>
      <c r="B16" s="1" t="s">
        <v>161</v>
      </c>
      <c r="C16" s="1" t="s">
        <v>176</v>
      </c>
      <c r="D16" s="1" t="s">
        <v>182</v>
      </c>
      <c r="E16" s="35">
        <v>35000</v>
      </c>
    </row>
    <row r="17" spans="1:15">
      <c r="A17" s="26">
        <v>46244</v>
      </c>
      <c r="B17" s="1" t="s">
        <v>134</v>
      </c>
      <c r="C17" s="1" t="s">
        <v>177</v>
      </c>
      <c r="D17" s="1" t="s">
        <v>181</v>
      </c>
      <c r="E17" s="35">
        <v>22000</v>
      </c>
      <c r="H17" s="30"/>
    </row>
    <row r="18" spans="1:15">
      <c r="A18" s="26">
        <v>46245</v>
      </c>
      <c r="B18" s="1" t="s">
        <v>161</v>
      </c>
      <c r="C18" s="1" t="s">
        <v>179</v>
      </c>
      <c r="D18" s="1" t="s">
        <v>180</v>
      </c>
      <c r="E18" s="35">
        <v>57000</v>
      </c>
    </row>
    <row r="19" spans="1:15">
      <c r="A19" s="26">
        <v>46246</v>
      </c>
      <c r="B19" s="1" t="s">
        <v>112</v>
      </c>
      <c r="C19" s="1" t="s">
        <v>178</v>
      </c>
      <c r="D19" s="1" t="s">
        <v>181</v>
      </c>
      <c r="E19" s="35">
        <v>25000</v>
      </c>
    </row>
    <row r="20" spans="1:15">
      <c r="E20" s="29"/>
    </row>
    <row r="22" spans="1:15">
      <c r="O22" s="28"/>
    </row>
    <row r="27" spans="1:15">
      <c r="D27" s="28"/>
    </row>
  </sheetData>
  <mergeCells count="1">
    <mergeCell ref="A1: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F9C6F-4559-480E-AD13-A154FAC97BC7}">
  <dimension ref="A1:I19"/>
  <sheetViews>
    <sheetView workbookViewId="0">
      <selection activeCell="H7" sqref="H7"/>
    </sheetView>
  </sheetViews>
  <sheetFormatPr defaultRowHeight="15"/>
  <cols>
    <col min="1" max="1" width="14.7109375" customWidth="1"/>
    <col min="2" max="2" width="18.28515625" customWidth="1"/>
    <col min="3" max="3" width="19.28515625" customWidth="1"/>
    <col min="4" max="4" width="10" customWidth="1"/>
    <col min="5" max="5" width="14.7109375" customWidth="1"/>
  </cols>
  <sheetData>
    <row r="1" spans="1:9">
      <c r="A1" s="137" t="s">
        <v>186</v>
      </c>
      <c r="B1" s="138"/>
      <c r="C1" s="138"/>
      <c r="D1" s="138"/>
      <c r="E1" s="138"/>
    </row>
    <row r="3" spans="1:9">
      <c r="A3" s="139" t="s">
        <v>187</v>
      </c>
      <c r="B3" s="139"/>
      <c r="C3" s="1" t="s">
        <v>188</v>
      </c>
      <c r="D3" s="139" t="s">
        <v>189</v>
      </c>
      <c r="E3" s="139"/>
    </row>
    <row r="4" spans="1:9">
      <c r="A4" s="139" t="s">
        <v>190</v>
      </c>
      <c r="B4" s="139"/>
      <c r="C4" s="33">
        <f>SUMIFS(E8:E19,B8:B19,"ARUN",C8:C19,"SOUTH")</f>
        <v>86000</v>
      </c>
      <c r="D4" s="140">
        <f>SUMIFS(E8:E19,B8:B19,"arun",C8:C19,"south")</f>
        <v>86000</v>
      </c>
      <c r="E4" s="140"/>
    </row>
    <row r="7" spans="1:9">
      <c r="A7" s="31" t="s">
        <v>38</v>
      </c>
      <c r="B7" s="31" t="s">
        <v>172</v>
      </c>
      <c r="C7" s="31" t="s">
        <v>173</v>
      </c>
      <c r="D7" s="31" t="s">
        <v>174</v>
      </c>
      <c r="E7" s="31" t="s">
        <v>175</v>
      </c>
    </row>
    <row r="8" spans="1:9">
      <c r="A8" s="26">
        <v>46235</v>
      </c>
      <c r="B8" s="1" t="s">
        <v>148</v>
      </c>
      <c r="C8" s="1" t="s">
        <v>176</v>
      </c>
      <c r="D8" s="1" t="s">
        <v>180</v>
      </c>
      <c r="E8" s="34">
        <v>55000</v>
      </c>
      <c r="I8" s="28"/>
    </row>
    <row r="9" spans="1:9" ht="15.75">
      <c r="A9" s="26">
        <v>46236</v>
      </c>
      <c r="B9" s="1" t="s">
        <v>185</v>
      </c>
      <c r="C9" s="27" t="s">
        <v>177</v>
      </c>
      <c r="D9" s="1" t="s">
        <v>181</v>
      </c>
      <c r="E9" s="6">
        <v>28000</v>
      </c>
    </row>
    <row r="10" spans="1:9" ht="15.75">
      <c r="A10" s="26">
        <v>46237</v>
      </c>
      <c r="B10" s="1" t="s">
        <v>103</v>
      </c>
      <c r="C10" s="27" t="s">
        <v>176</v>
      </c>
      <c r="D10" s="1" t="s">
        <v>180</v>
      </c>
      <c r="E10" s="35">
        <v>62000</v>
      </c>
    </row>
    <row r="11" spans="1:9">
      <c r="A11" s="26">
        <v>46238</v>
      </c>
      <c r="B11" s="1" t="s">
        <v>108</v>
      </c>
      <c r="C11" s="1" t="s">
        <v>178</v>
      </c>
      <c r="D11" s="1" t="s">
        <v>182</v>
      </c>
      <c r="E11" s="35">
        <v>32000</v>
      </c>
    </row>
    <row r="12" spans="1:9">
      <c r="A12" s="26">
        <v>46239</v>
      </c>
      <c r="B12" s="1" t="s">
        <v>109</v>
      </c>
      <c r="C12" s="1" t="s">
        <v>176</v>
      </c>
      <c r="D12" s="1" t="s">
        <v>181</v>
      </c>
      <c r="E12" s="35">
        <v>24000</v>
      </c>
    </row>
    <row r="13" spans="1:9">
      <c r="A13" s="26">
        <v>46240</v>
      </c>
      <c r="B13" s="1" t="s">
        <v>5</v>
      </c>
      <c r="C13" s="1" t="s">
        <v>177</v>
      </c>
      <c r="D13" s="1" t="s">
        <v>180</v>
      </c>
      <c r="E13" s="35">
        <v>58000</v>
      </c>
    </row>
    <row r="14" spans="1:9">
      <c r="A14" s="26">
        <v>46241</v>
      </c>
      <c r="B14" s="1" t="s">
        <v>6</v>
      </c>
      <c r="C14" s="1" t="s">
        <v>179</v>
      </c>
      <c r="D14" s="1" t="s">
        <v>181</v>
      </c>
      <c r="E14" s="35">
        <v>26000</v>
      </c>
    </row>
    <row r="15" spans="1:9">
      <c r="A15" s="26">
        <v>46242</v>
      </c>
      <c r="B15" s="1" t="s">
        <v>103</v>
      </c>
      <c r="C15" s="1" t="s">
        <v>178</v>
      </c>
      <c r="D15" s="1" t="s">
        <v>180</v>
      </c>
      <c r="E15" s="35">
        <v>61000</v>
      </c>
    </row>
    <row r="16" spans="1:9">
      <c r="A16" s="26">
        <v>46243</v>
      </c>
      <c r="B16" s="1" t="s">
        <v>161</v>
      </c>
      <c r="C16" s="1" t="s">
        <v>176</v>
      </c>
      <c r="D16" s="1" t="s">
        <v>182</v>
      </c>
      <c r="E16" s="35">
        <v>35000</v>
      </c>
    </row>
    <row r="17" spans="1:5">
      <c r="A17" s="26">
        <v>46244</v>
      </c>
      <c r="B17" s="1" t="s">
        <v>134</v>
      </c>
      <c r="C17" s="1" t="s">
        <v>177</v>
      </c>
      <c r="D17" s="1" t="s">
        <v>181</v>
      </c>
      <c r="E17" s="35">
        <v>22000</v>
      </c>
    </row>
    <row r="18" spans="1:5">
      <c r="A18" s="26">
        <v>46245</v>
      </c>
      <c r="B18" s="1" t="s">
        <v>161</v>
      </c>
      <c r="C18" s="1" t="s">
        <v>179</v>
      </c>
      <c r="D18" s="1" t="s">
        <v>180</v>
      </c>
      <c r="E18" s="35">
        <v>57000</v>
      </c>
    </row>
    <row r="19" spans="1:5">
      <c r="A19" s="26">
        <v>46246</v>
      </c>
      <c r="B19" s="1" t="s">
        <v>112</v>
      </c>
      <c r="C19" s="1" t="s">
        <v>178</v>
      </c>
      <c r="D19" s="1" t="s">
        <v>181</v>
      </c>
      <c r="E19" s="35">
        <v>25000</v>
      </c>
    </row>
  </sheetData>
  <mergeCells count="5">
    <mergeCell ref="A1:E1"/>
    <mergeCell ref="A3:B3"/>
    <mergeCell ref="A4:B4"/>
    <mergeCell ref="D3:E3"/>
    <mergeCell ref="D4:E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60258-B22A-49F3-805B-B356EF4E2324}">
  <dimension ref="A1:D19"/>
  <sheetViews>
    <sheetView workbookViewId="0">
      <selection activeCell="J26" sqref="J26"/>
    </sheetView>
  </sheetViews>
  <sheetFormatPr defaultRowHeight="15"/>
  <cols>
    <col min="1" max="1" width="14.28515625" customWidth="1"/>
    <col min="2" max="2" width="17.42578125" customWidth="1"/>
    <col min="3" max="3" width="18.140625" customWidth="1"/>
    <col min="4" max="4" width="21.85546875" customWidth="1"/>
  </cols>
  <sheetData>
    <row r="1" spans="1:4">
      <c r="A1" s="121" t="s">
        <v>298</v>
      </c>
      <c r="B1" s="121"/>
      <c r="C1" s="121"/>
      <c r="D1" s="121"/>
    </row>
    <row r="2" spans="1:4">
      <c r="A2" s="121"/>
      <c r="B2" s="121"/>
      <c r="C2" s="121"/>
      <c r="D2" s="121"/>
    </row>
    <row r="3" spans="1:4">
      <c r="A3" s="59" t="s">
        <v>51</v>
      </c>
      <c r="B3" s="59" t="s">
        <v>175</v>
      </c>
      <c r="C3" s="59" t="s">
        <v>299</v>
      </c>
      <c r="D3" s="59" t="s">
        <v>300</v>
      </c>
    </row>
    <row r="4" spans="1:4">
      <c r="A4" s="1" t="s">
        <v>103</v>
      </c>
      <c r="B4" s="57">
        <v>13721</v>
      </c>
      <c r="C4" s="1" t="s">
        <v>302</v>
      </c>
      <c r="D4" s="1" t="s">
        <v>306</v>
      </c>
    </row>
    <row r="5" spans="1:4">
      <c r="A5" s="1" t="s">
        <v>104</v>
      </c>
      <c r="B5" s="58">
        <v>16267</v>
      </c>
      <c r="C5" s="1" t="s">
        <v>303</v>
      </c>
      <c r="D5" s="1" t="s">
        <v>307</v>
      </c>
    </row>
    <row r="6" spans="1:4">
      <c r="A6" s="1" t="s">
        <v>105</v>
      </c>
      <c r="B6" s="58">
        <v>17273</v>
      </c>
      <c r="C6" s="1" t="s">
        <v>304</v>
      </c>
      <c r="D6" s="1" t="s">
        <v>262</v>
      </c>
    </row>
    <row r="7" spans="1:4">
      <c r="A7" s="1" t="s">
        <v>106</v>
      </c>
      <c r="B7" s="58">
        <v>17860</v>
      </c>
      <c r="C7" s="1" t="s">
        <v>302</v>
      </c>
      <c r="D7" s="1" t="s">
        <v>308</v>
      </c>
    </row>
    <row r="8" spans="1:4">
      <c r="A8" s="1" t="s">
        <v>107</v>
      </c>
      <c r="B8" s="58">
        <v>13213</v>
      </c>
      <c r="C8" s="1" t="s">
        <v>305</v>
      </c>
      <c r="D8" s="1" t="s">
        <v>309</v>
      </c>
    </row>
    <row r="9" spans="1:4">
      <c r="A9" s="1" t="s">
        <v>108</v>
      </c>
      <c r="B9" s="58">
        <v>18689</v>
      </c>
      <c r="C9" s="1" t="s">
        <v>304</v>
      </c>
      <c r="D9" s="1" t="s">
        <v>267</v>
      </c>
    </row>
    <row r="10" spans="1:4">
      <c r="A10" s="1" t="s">
        <v>109</v>
      </c>
      <c r="B10" s="58">
        <v>13645</v>
      </c>
      <c r="C10" s="1" t="s">
        <v>303</v>
      </c>
      <c r="D10" s="1" t="s">
        <v>260</v>
      </c>
    </row>
    <row r="11" spans="1:4">
      <c r="A11" s="1" t="s">
        <v>110</v>
      </c>
      <c r="B11" s="58">
        <v>15182</v>
      </c>
      <c r="C11" s="1" t="s">
        <v>305</v>
      </c>
      <c r="D11" s="1" t="s">
        <v>310</v>
      </c>
    </row>
    <row r="12" spans="1:4">
      <c r="A12" s="1" t="s">
        <v>111</v>
      </c>
      <c r="B12" s="58">
        <v>14463</v>
      </c>
      <c r="C12" s="1" t="s">
        <v>302</v>
      </c>
      <c r="D12" s="1" t="s">
        <v>311</v>
      </c>
    </row>
    <row r="13" spans="1:4">
      <c r="A13" s="1" t="s">
        <v>112</v>
      </c>
      <c r="B13" s="58">
        <v>16592</v>
      </c>
      <c r="C13" s="1" t="s">
        <v>304</v>
      </c>
      <c r="D13" s="1" t="s">
        <v>312</v>
      </c>
    </row>
    <row r="15" spans="1:4">
      <c r="A15" s="60" t="s">
        <v>12</v>
      </c>
      <c r="B15" s="60" t="s">
        <v>285</v>
      </c>
      <c r="D15" s="61" t="s">
        <v>301</v>
      </c>
    </row>
    <row r="16" spans="1:4">
      <c r="A16" s="1" t="s">
        <v>103</v>
      </c>
      <c r="B16" s="57">
        <f>SUMIF(A4:A13,A4,B4:B13)</f>
        <v>13721</v>
      </c>
      <c r="D16" s="58">
        <f>SUMIF(A4:A13,A9,B4:B13)</f>
        <v>18689</v>
      </c>
    </row>
    <row r="17" spans="1:4">
      <c r="A17" s="1" t="s">
        <v>104</v>
      </c>
      <c r="B17" s="58">
        <f>SUMIF(A4:A13,A5,B4:B13)</f>
        <v>16267</v>
      </c>
    </row>
    <row r="18" spans="1:4">
      <c r="A18" s="1" t="s">
        <v>105</v>
      </c>
      <c r="B18" s="58">
        <f>SUMIF(A4:A13,A6,B4:B13)</f>
        <v>17273</v>
      </c>
      <c r="D18" s="61" t="s">
        <v>313</v>
      </c>
    </row>
    <row r="19" spans="1:4">
      <c r="A19" s="1" t="s">
        <v>106</v>
      </c>
      <c r="B19" s="58">
        <f>SUMIF(A4:A13,A7,B4:B13)</f>
        <v>17860</v>
      </c>
      <c r="D19" s="58" cm="1">
        <f t="array" ref="D19">SUM(_xlfn._xlws.FILTER(B4:B13,A4:A13=A7))</f>
        <v>17860</v>
      </c>
    </row>
  </sheetData>
  <mergeCells count="1">
    <mergeCell ref="A1:D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14FCD-44C9-455F-BABE-9BB03B3DE1EB}">
  <dimension ref="A1:G12"/>
  <sheetViews>
    <sheetView workbookViewId="0">
      <selection activeCell="G21" sqref="G21"/>
    </sheetView>
  </sheetViews>
  <sheetFormatPr defaultRowHeight="15"/>
  <cols>
    <col min="1" max="1" width="11.85546875" customWidth="1"/>
    <col min="5" max="5" width="16.85546875" customWidth="1"/>
    <col min="6" max="6" width="15.85546875" customWidth="1"/>
    <col min="7" max="7" width="17" customWidth="1"/>
  </cols>
  <sheetData>
    <row r="1" spans="1:7">
      <c r="A1" s="141" t="s">
        <v>314</v>
      </c>
      <c r="B1" s="141"/>
      <c r="C1" s="141"/>
      <c r="D1" s="141"/>
      <c r="E1" s="141"/>
      <c r="F1" s="141"/>
      <c r="G1" s="141"/>
    </row>
    <row r="2" spans="1:7">
      <c r="A2" s="62" t="s">
        <v>255</v>
      </c>
      <c r="B2" s="62" t="s">
        <v>41</v>
      </c>
      <c r="C2" s="62" t="s">
        <v>40</v>
      </c>
      <c r="D2" s="62" t="s">
        <v>39</v>
      </c>
      <c r="E2" s="62" t="s">
        <v>315</v>
      </c>
      <c r="F2" s="62" t="s">
        <v>316</v>
      </c>
      <c r="G2" s="62" t="s">
        <v>317</v>
      </c>
    </row>
    <row r="3" spans="1:7">
      <c r="A3" s="1" t="s">
        <v>103</v>
      </c>
      <c r="B3" s="1">
        <v>2024</v>
      </c>
      <c r="C3" s="1">
        <v>1</v>
      </c>
      <c r="D3" s="1">
        <v>16</v>
      </c>
      <c r="E3" s="1">
        <v>21</v>
      </c>
      <c r="F3" s="11">
        <f>DATE(B3,C3,D3)</f>
        <v>45307</v>
      </c>
      <c r="G3" s="11">
        <f>EDATE(F3,E3)</f>
        <v>45946</v>
      </c>
    </row>
    <row r="4" spans="1:7">
      <c r="A4" s="1" t="s">
        <v>104</v>
      </c>
      <c r="B4" s="1">
        <v>2019</v>
      </c>
      <c r="C4" s="1">
        <v>2</v>
      </c>
      <c r="D4" s="1">
        <v>17</v>
      </c>
      <c r="E4" s="1">
        <v>22</v>
      </c>
      <c r="F4" s="11">
        <f t="shared" ref="F4:F12" si="0">DATE(B4,C4,D4)</f>
        <v>43513</v>
      </c>
      <c r="G4" s="11">
        <f t="shared" ref="G4:G12" si="1">EDATE(F4,E4)</f>
        <v>44182</v>
      </c>
    </row>
    <row r="5" spans="1:7">
      <c r="A5" s="1" t="s">
        <v>105</v>
      </c>
      <c r="B5" s="1">
        <v>2018</v>
      </c>
      <c r="C5" s="1">
        <v>3</v>
      </c>
      <c r="D5" s="1">
        <v>18</v>
      </c>
      <c r="E5" s="1">
        <v>23</v>
      </c>
      <c r="F5" s="11">
        <f t="shared" si="0"/>
        <v>43177</v>
      </c>
      <c r="G5" s="11">
        <f t="shared" si="1"/>
        <v>43879</v>
      </c>
    </row>
    <row r="6" spans="1:7">
      <c r="A6" s="1" t="s">
        <v>106</v>
      </c>
      <c r="B6" s="1">
        <v>2020</v>
      </c>
      <c r="C6" s="1">
        <v>4</v>
      </c>
      <c r="D6" s="1">
        <v>19</v>
      </c>
      <c r="E6" s="1">
        <v>24</v>
      </c>
      <c r="F6" s="11">
        <f t="shared" si="0"/>
        <v>43940</v>
      </c>
      <c r="G6" s="11">
        <f t="shared" si="1"/>
        <v>44670</v>
      </c>
    </row>
    <row r="7" spans="1:7">
      <c r="A7" s="1" t="s">
        <v>107</v>
      </c>
      <c r="B7" s="1">
        <v>2023</v>
      </c>
      <c r="C7" s="1">
        <v>5</v>
      </c>
      <c r="D7" s="1">
        <v>20</v>
      </c>
      <c r="E7" s="1">
        <v>25</v>
      </c>
      <c r="F7" s="11">
        <f t="shared" si="0"/>
        <v>45066</v>
      </c>
      <c r="G7" s="11">
        <f t="shared" si="1"/>
        <v>45828</v>
      </c>
    </row>
    <row r="8" spans="1:7">
      <c r="A8" s="1" t="s">
        <v>108</v>
      </c>
      <c r="B8" s="1">
        <v>2022</v>
      </c>
      <c r="C8" s="1">
        <v>6</v>
      </c>
      <c r="D8" s="1">
        <v>21</v>
      </c>
      <c r="E8" s="1">
        <v>26</v>
      </c>
      <c r="F8" s="11">
        <f t="shared" si="0"/>
        <v>44733</v>
      </c>
      <c r="G8" s="11">
        <f t="shared" si="1"/>
        <v>45525</v>
      </c>
    </row>
    <row r="9" spans="1:7">
      <c r="A9" s="1" t="s">
        <v>109</v>
      </c>
      <c r="B9" s="1">
        <v>2021</v>
      </c>
      <c r="C9" s="1">
        <v>7</v>
      </c>
      <c r="D9" s="1">
        <v>22</v>
      </c>
      <c r="E9" s="1">
        <v>27</v>
      </c>
      <c r="F9" s="11">
        <f t="shared" si="0"/>
        <v>44399</v>
      </c>
      <c r="G9" s="11">
        <f t="shared" si="1"/>
        <v>45221</v>
      </c>
    </row>
    <row r="10" spans="1:7">
      <c r="A10" s="1" t="s">
        <v>110</v>
      </c>
      <c r="B10" s="1">
        <v>2016</v>
      </c>
      <c r="C10" s="1">
        <v>8</v>
      </c>
      <c r="D10" s="1">
        <v>23</v>
      </c>
      <c r="E10" s="1">
        <v>28</v>
      </c>
      <c r="F10" s="11">
        <f t="shared" si="0"/>
        <v>42605</v>
      </c>
      <c r="G10" s="11">
        <f t="shared" si="1"/>
        <v>43457</v>
      </c>
    </row>
    <row r="11" spans="1:7">
      <c r="A11" s="1" t="s">
        <v>111</v>
      </c>
      <c r="B11" s="1">
        <v>2025</v>
      </c>
      <c r="C11" s="1">
        <v>9</v>
      </c>
      <c r="D11" s="1">
        <v>24</v>
      </c>
      <c r="E11" s="1">
        <v>29</v>
      </c>
      <c r="F11" s="11">
        <f t="shared" si="0"/>
        <v>45924</v>
      </c>
      <c r="G11" s="11">
        <f t="shared" si="1"/>
        <v>46807</v>
      </c>
    </row>
    <row r="12" spans="1:7">
      <c r="A12" s="1" t="s">
        <v>112</v>
      </c>
      <c r="B12" s="1">
        <v>2017</v>
      </c>
      <c r="C12" s="1">
        <v>10</v>
      </c>
      <c r="D12" s="1">
        <v>25</v>
      </c>
      <c r="E12" s="1">
        <v>30</v>
      </c>
      <c r="F12" s="11">
        <f t="shared" si="0"/>
        <v>43033</v>
      </c>
      <c r="G12" s="11">
        <f t="shared" si="1"/>
        <v>43946</v>
      </c>
    </row>
  </sheetData>
  <mergeCells count="1">
    <mergeCell ref="A1:G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C6873-6437-4958-9ED6-802FE7741AC7}">
  <dimension ref="A1:G6"/>
  <sheetViews>
    <sheetView workbookViewId="0">
      <selection activeCell="G2" sqref="G2"/>
    </sheetView>
  </sheetViews>
  <sheetFormatPr defaultRowHeight="15"/>
  <cols>
    <col min="1" max="1" width="14.85546875" customWidth="1"/>
    <col min="3" max="3" width="17.85546875" customWidth="1"/>
    <col min="4" max="5" width="12.28515625" customWidth="1"/>
    <col min="6" max="6" width="19.140625" customWidth="1"/>
  </cols>
  <sheetData>
    <row r="1" spans="1:7">
      <c r="A1" s="40" t="s">
        <v>192</v>
      </c>
      <c r="B1" s="40" t="s">
        <v>12</v>
      </c>
      <c r="C1" s="40" t="s">
        <v>53</v>
      </c>
      <c r="D1" s="40" t="s">
        <v>193</v>
      </c>
      <c r="F1" s="142" t="s">
        <v>194</v>
      </c>
      <c r="G1" s="143"/>
    </row>
    <row r="2" spans="1:7">
      <c r="A2" s="1" t="s">
        <v>91</v>
      </c>
      <c r="B2" s="1" t="s">
        <v>195</v>
      </c>
      <c r="C2" s="1" t="s">
        <v>66</v>
      </c>
      <c r="D2" s="1">
        <v>25000</v>
      </c>
      <c r="F2" s="1" t="s">
        <v>200</v>
      </c>
      <c r="G2" s="39" t="s">
        <v>93</v>
      </c>
    </row>
    <row r="3" spans="1:7">
      <c r="A3" s="1" t="s">
        <v>92</v>
      </c>
      <c r="B3" s="1" t="s">
        <v>103</v>
      </c>
      <c r="C3" s="1" t="s">
        <v>64</v>
      </c>
      <c r="D3" s="1">
        <v>30000</v>
      </c>
      <c r="F3" s="1"/>
      <c r="G3" s="1"/>
    </row>
    <row r="4" spans="1:7">
      <c r="A4" s="1" t="s">
        <v>93</v>
      </c>
      <c r="B4" s="1" t="s">
        <v>107</v>
      </c>
      <c r="C4" s="1" t="s">
        <v>65</v>
      </c>
      <c r="D4" s="1">
        <v>28000</v>
      </c>
      <c r="F4" s="1" t="s">
        <v>12</v>
      </c>
      <c r="G4" s="39" t="s">
        <v>107</v>
      </c>
    </row>
    <row r="5" spans="1:7">
      <c r="A5" s="1" t="s">
        <v>94</v>
      </c>
      <c r="B5" s="1" t="s">
        <v>196</v>
      </c>
      <c r="C5" s="1" t="s">
        <v>198</v>
      </c>
      <c r="D5" s="1">
        <v>27000</v>
      </c>
      <c r="F5" s="1" t="s">
        <v>53</v>
      </c>
      <c r="G5" s="39" t="s">
        <v>65</v>
      </c>
    </row>
    <row r="6" spans="1:7">
      <c r="A6" s="1" t="s">
        <v>95</v>
      </c>
      <c r="B6" s="1" t="s">
        <v>197</v>
      </c>
      <c r="C6" s="1" t="s">
        <v>199</v>
      </c>
      <c r="D6" s="1">
        <v>32000</v>
      </c>
      <c r="F6" s="1" t="s">
        <v>193</v>
      </c>
      <c r="G6" s="1">
        <f>VLOOKUP(G2,A2:D6,4,FALSE)</f>
        <v>28000</v>
      </c>
    </row>
  </sheetData>
  <mergeCells count="1">
    <mergeCell ref="F1:G1"/>
  </mergeCells>
  <phoneticPr fontId="7"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923A3-232A-4B4B-9C53-9146F5EC9D80}">
  <dimension ref="A1:I15"/>
  <sheetViews>
    <sheetView workbookViewId="0">
      <selection activeCell="H4" sqref="H4"/>
    </sheetView>
  </sheetViews>
  <sheetFormatPr defaultRowHeight="15"/>
  <cols>
    <col min="1" max="1" width="17.7109375" customWidth="1"/>
    <col min="2" max="2" width="16.42578125" customWidth="1"/>
    <col min="3" max="3" width="17" customWidth="1"/>
    <col min="6" max="6" width="18.28515625" customWidth="1"/>
    <col min="7" max="7" width="13.5703125" customWidth="1"/>
    <col min="8" max="9" width="18.5703125" customWidth="1"/>
  </cols>
  <sheetData>
    <row r="1" spans="1:9">
      <c r="A1" s="144" t="s">
        <v>201</v>
      </c>
      <c r="B1" s="144"/>
      <c r="C1" s="144"/>
      <c r="F1" s="138" t="s">
        <v>228</v>
      </c>
      <c r="G1" s="138"/>
      <c r="H1" s="138"/>
      <c r="I1" s="138"/>
    </row>
    <row r="2" spans="1:9">
      <c r="A2" s="41" t="s">
        <v>202</v>
      </c>
      <c r="B2" s="41" t="s">
        <v>203</v>
      </c>
      <c r="C2" s="41" t="s">
        <v>204</v>
      </c>
      <c r="F2" s="42" t="s">
        <v>229</v>
      </c>
      <c r="G2" s="42" t="s">
        <v>230</v>
      </c>
      <c r="H2" s="42" t="s">
        <v>204</v>
      </c>
      <c r="I2" s="42" t="s">
        <v>203</v>
      </c>
    </row>
    <row r="3" spans="1:9">
      <c r="A3" s="1">
        <v>110608</v>
      </c>
      <c r="B3" s="1" t="s">
        <v>205</v>
      </c>
      <c r="C3" s="1" t="s">
        <v>218</v>
      </c>
      <c r="F3" s="1">
        <v>990678</v>
      </c>
      <c r="G3" s="43">
        <v>84289</v>
      </c>
      <c r="H3" s="1" t="str">
        <f>VLOOKUP(F3,A3:C15,3,FALSE)</f>
        <v>Brad</v>
      </c>
      <c r="I3" s="1" t="str">
        <f>VLOOKUP(F3,A3:C15,2,FALSE)</f>
        <v>Pitt</v>
      </c>
    </row>
    <row r="4" spans="1:9">
      <c r="A4" s="1">
        <v>253072</v>
      </c>
      <c r="B4" s="1" t="s">
        <v>206</v>
      </c>
      <c r="C4" s="1" t="s">
        <v>219</v>
      </c>
      <c r="F4" s="1">
        <v>830385</v>
      </c>
      <c r="G4" s="43">
        <v>137670</v>
      </c>
      <c r="H4" s="1" t="str">
        <f t="shared" ref="H4:H12" si="0">VLOOKUP(F4,A4:C16,3,FALSE)</f>
        <v>Prince</v>
      </c>
      <c r="I4" s="1" t="str">
        <f t="shared" ref="I4:I7" si="1">VLOOKUP(F4,A4:C16,2,FALSE)</f>
        <v>Williams</v>
      </c>
    </row>
    <row r="5" spans="1:9">
      <c r="A5" s="1">
        <v>352711</v>
      </c>
      <c r="B5" s="1" t="s">
        <v>207</v>
      </c>
      <c r="C5" s="1" t="s">
        <v>218</v>
      </c>
      <c r="F5" s="1">
        <v>795574</v>
      </c>
      <c r="G5" s="43">
        <v>190024</v>
      </c>
      <c r="H5" s="1" t="str">
        <f t="shared" si="0"/>
        <v>Tony</v>
      </c>
      <c r="I5" s="1" t="str">
        <f t="shared" si="1"/>
        <v>Stark</v>
      </c>
    </row>
    <row r="6" spans="1:9">
      <c r="A6" s="1">
        <v>391006</v>
      </c>
      <c r="B6" s="1" t="s">
        <v>208</v>
      </c>
      <c r="C6" s="1" t="s">
        <v>220</v>
      </c>
      <c r="F6" s="1">
        <v>580622</v>
      </c>
      <c r="G6" s="43">
        <v>122604</v>
      </c>
      <c r="H6" s="1" t="str">
        <f t="shared" si="0"/>
        <v>Eli</v>
      </c>
      <c r="I6" s="1" t="str">
        <f t="shared" si="1"/>
        <v>Manning</v>
      </c>
    </row>
    <row r="7" spans="1:9">
      <c r="A7" s="1">
        <v>392128</v>
      </c>
      <c r="B7" s="1" t="s">
        <v>217</v>
      </c>
      <c r="C7" s="1" t="s">
        <v>221</v>
      </c>
      <c r="F7" s="1">
        <v>549457</v>
      </c>
      <c r="G7" s="43">
        <v>111709</v>
      </c>
      <c r="H7" s="1" t="str">
        <f t="shared" si="0"/>
        <v>John</v>
      </c>
      <c r="I7" s="1" t="str">
        <f t="shared" si="1"/>
        <v>Elway</v>
      </c>
    </row>
    <row r="8" spans="1:9">
      <c r="A8" s="1">
        <v>549457</v>
      </c>
      <c r="B8" s="1" t="s">
        <v>209</v>
      </c>
      <c r="C8" s="1" t="s">
        <v>218</v>
      </c>
      <c r="F8" s="1">
        <v>392128</v>
      </c>
      <c r="G8" s="43">
        <v>85931</v>
      </c>
      <c r="H8" s="1" t="str">
        <f>VLOOKUP(F8,A3:C15,3,FALSE)</f>
        <v>Bret</v>
      </c>
      <c r="I8" s="1" t="str">
        <f>VLOOKUP(F8,A3:C15,2,FALSE)</f>
        <v>Favre</v>
      </c>
    </row>
    <row r="9" spans="1:9">
      <c r="A9" s="1">
        <v>580622</v>
      </c>
      <c r="B9" s="1" t="s">
        <v>210</v>
      </c>
      <c r="C9" s="1" t="s">
        <v>222</v>
      </c>
      <c r="F9" s="1">
        <v>391006</v>
      </c>
      <c r="G9" s="43">
        <v>168114</v>
      </c>
      <c r="H9" s="1" t="str">
        <f t="shared" ref="H9:H10" si="2">VLOOKUP(F9,A4:C16,3,FALSE)</f>
        <v>Peter</v>
      </c>
      <c r="I9" s="1" t="str">
        <f t="shared" ref="I9:I14" si="3">VLOOKUP(F9,A4:C16,2,FALSE)</f>
        <v>Pan</v>
      </c>
    </row>
    <row r="10" spans="1:9">
      <c r="A10" s="1">
        <v>602693</v>
      </c>
      <c r="B10" s="1" t="s">
        <v>211</v>
      </c>
      <c r="C10" s="1" t="s">
        <v>224</v>
      </c>
      <c r="F10" s="1">
        <v>352711</v>
      </c>
      <c r="G10" s="43">
        <v>89627</v>
      </c>
      <c r="H10" s="1" t="str">
        <f t="shared" si="2"/>
        <v>John</v>
      </c>
      <c r="I10" s="1" t="str">
        <f t="shared" si="3"/>
        <v>Smith</v>
      </c>
    </row>
    <row r="11" spans="1:9">
      <c r="A11" s="1">
        <v>611810</v>
      </c>
      <c r="B11" s="1" t="s">
        <v>212</v>
      </c>
      <c r="C11" s="1" t="s">
        <v>223</v>
      </c>
      <c r="F11" s="1">
        <v>253072</v>
      </c>
      <c r="G11" s="43">
        <v>149946</v>
      </c>
      <c r="H11" s="1" t="str">
        <f>VLOOKUP(F11,A3:C15,3,FALSE)</f>
        <v>Andy</v>
      </c>
      <c r="I11" s="1" t="str">
        <f>VLOOKUP(F11,A3:C15,2,FALSE)</f>
        <v>Cline</v>
      </c>
    </row>
    <row r="12" spans="1:9">
      <c r="A12" s="1">
        <v>612235</v>
      </c>
      <c r="B12" s="1" t="s">
        <v>213</v>
      </c>
      <c r="C12" s="1" t="s">
        <v>224</v>
      </c>
      <c r="F12" s="1">
        <v>612235</v>
      </c>
      <c r="G12" s="43">
        <v>145893</v>
      </c>
      <c r="H12" s="1" t="str">
        <f t="shared" si="0"/>
        <v>Micheal</v>
      </c>
      <c r="I12" s="1" t="str">
        <f t="shared" si="3"/>
        <v xml:space="preserve"> Jordan</v>
      </c>
    </row>
    <row r="13" spans="1:9">
      <c r="A13" s="1">
        <v>795574</v>
      </c>
      <c r="B13" s="1" t="s">
        <v>214</v>
      </c>
      <c r="C13" s="1" t="s">
        <v>225</v>
      </c>
      <c r="F13" s="1">
        <v>611810</v>
      </c>
      <c r="G13" s="43">
        <v>64757</v>
      </c>
      <c r="H13" s="1" t="str">
        <f>VLOOKUP(F13,A3:C15,3,FALSE)</f>
        <v>Tiger</v>
      </c>
      <c r="I13" s="1" t="str">
        <f t="shared" si="3"/>
        <v>Woods</v>
      </c>
    </row>
    <row r="14" spans="1:9">
      <c r="A14" s="1">
        <v>830385</v>
      </c>
      <c r="B14" s="1" t="s">
        <v>215</v>
      </c>
      <c r="C14" s="1" t="s">
        <v>226</v>
      </c>
      <c r="F14" s="1">
        <v>602693</v>
      </c>
      <c r="G14" s="43">
        <v>71478</v>
      </c>
      <c r="H14" s="1" t="str">
        <f t="shared" ref="H14" si="4">VLOOKUP(F14,A4:C16,3,FALSE)</f>
        <v>Micheal</v>
      </c>
      <c r="I14" s="1" t="str">
        <f t="shared" si="3"/>
        <v>Vick</v>
      </c>
    </row>
    <row r="15" spans="1:9">
      <c r="A15" s="1">
        <v>990678</v>
      </c>
      <c r="B15" s="1" t="s">
        <v>216</v>
      </c>
      <c r="C15" s="1" t="s">
        <v>227</v>
      </c>
      <c r="F15" s="1">
        <v>110608</v>
      </c>
      <c r="G15" s="43">
        <v>131505</v>
      </c>
      <c r="H15" s="1" t="str">
        <f>VLOOKUP(F15,A3:C15,3,FALSE)</f>
        <v>John</v>
      </c>
      <c r="I15" s="1" t="str">
        <f>VLOOKUP(F15,A3:C15,2,FALSE)</f>
        <v>Doe</v>
      </c>
    </row>
  </sheetData>
  <mergeCells count="2">
    <mergeCell ref="A1:C1"/>
    <mergeCell ref="F1:I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CB979-5F46-4669-A319-9CECB5B5EBE0}">
  <dimension ref="A1:I34"/>
  <sheetViews>
    <sheetView workbookViewId="0">
      <selection activeCell="O22" sqref="O22"/>
    </sheetView>
  </sheetViews>
  <sheetFormatPr defaultRowHeight="15"/>
  <cols>
    <col min="1" max="1" width="17.28515625" customWidth="1"/>
    <col min="2" max="2" width="18.42578125" customWidth="1"/>
    <col min="3" max="3" width="15.5703125" customWidth="1"/>
    <col min="6" max="6" width="15.7109375" customWidth="1"/>
    <col min="7" max="7" width="18.5703125" customWidth="1"/>
    <col min="8" max="8" width="17.85546875" customWidth="1"/>
    <col min="9" max="9" width="15.140625" customWidth="1"/>
  </cols>
  <sheetData>
    <row r="1" spans="1:9">
      <c r="A1" s="122" t="s">
        <v>231</v>
      </c>
      <c r="B1" s="122"/>
      <c r="C1" s="122"/>
      <c r="F1" s="138" t="s">
        <v>228</v>
      </c>
      <c r="G1" s="138"/>
      <c r="H1" s="138"/>
      <c r="I1" s="138"/>
    </row>
    <row r="2" spans="1:9">
      <c r="F2" s="42" t="s">
        <v>229</v>
      </c>
      <c r="G2" s="42" t="s">
        <v>230</v>
      </c>
      <c r="H2" s="42" t="s">
        <v>203</v>
      </c>
      <c r="I2" s="42" t="s">
        <v>253</v>
      </c>
    </row>
    <row r="3" spans="1:9">
      <c r="A3" s="9" t="s">
        <v>202</v>
      </c>
      <c r="B3" s="9" t="s">
        <v>203</v>
      </c>
      <c r="C3" s="9" t="s">
        <v>232</v>
      </c>
      <c r="F3" s="1">
        <v>990678</v>
      </c>
      <c r="G3" s="43">
        <v>84289</v>
      </c>
      <c r="H3" s="1" t="str">
        <f>VLOOKUP(F3,A4:C16,2,TRUE)</f>
        <v>Pitt</v>
      </c>
      <c r="I3" s="1" t="str">
        <f>VLOOKUP(F3,A22:C34,2,TRUE)</f>
        <v>Austin</v>
      </c>
    </row>
    <row r="4" spans="1:9">
      <c r="A4" s="1">
        <v>110608</v>
      </c>
      <c r="B4" s="1" t="s">
        <v>205</v>
      </c>
      <c r="C4" s="1" t="s">
        <v>218</v>
      </c>
      <c r="F4" s="1">
        <v>830385</v>
      </c>
      <c r="G4" s="43">
        <v>137670</v>
      </c>
      <c r="H4" s="1" t="str">
        <f t="shared" ref="H4:H15" si="0">VLOOKUP(F4,A5:C17,2,TRUE)</f>
        <v>Williams</v>
      </c>
      <c r="I4" s="1" t="str">
        <f t="shared" ref="I4:I12" si="1">VLOOKUP(F4,A23:C35,2,TRUE)</f>
        <v>Chicago</v>
      </c>
    </row>
    <row r="5" spans="1:9">
      <c r="A5" s="1">
        <v>253072</v>
      </c>
      <c r="B5" s="1" t="s">
        <v>206</v>
      </c>
      <c r="C5" s="1" t="s">
        <v>219</v>
      </c>
      <c r="F5" s="1">
        <v>795574</v>
      </c>
      <c r="G5" s="43">
        <v>190024</v>
      </c>
      <c r="H5" s="1" t="str">
        <f t="shared" si="0"/>
        <v>Stark</v>
      </c>
      <c r="I5" s="1" t="str">
        <f t="shared" si="1"/>
        <v>Austin</v>
      </c>
    </row>
    <row r="6" spans="1:9">
      <c r="A6" s="1">
        <v>352711</v>
      </c>
      <c r="B6" s="1" t="s">
        <v>207</v>
      </c>
      <c r="C6" s="1" t="s">
        <v>218</v>
      </c>
      <c r="F6" s="1">
        <v>580622</v>
      </c>
      <c r="G6" s="43">
        <v>122604</v>
      </c>
      <c r="H6" s="1" t="str">
        <f t="shared" si="0"/>
        <v>Manning</v>
      </c>
      <c r="I6" s="1" t="str">
        <f t="shared" si="1"/>
        <v>Columbus</v>
      </c>
    </row>
    <row r="7" spans="1:9">
      <c r="A7" s="1">
        <v>391006</v>
      </c>
      <c r="B7" s="1" t="s">
        <v>208</v>
      </c>
      <c r="C7" s="1" t="s">
        <v>220</v>
      </c>
      <c r="F7" s="1">
        <v>549457</v>
      </c>
      <c r="G7" s="43">
        <v>111709</v>
      </c>
      <c r="H7" s="1" t="str">
        <f t="shared" si="0"/>
        <v>Elway</v>
      </c>
      <c r="I7" s="1" t="str">
        <f t="shared" si="1"/>
        <v>Tampa Bay</v>
      </c>
    </row>
    <row r="8" spans="1:9">
      <c r="A8" s="1">
        <v>392128</v>
      </c>
      <c r="B8" s="1" t="s">
        <v>217</v>
      </c>
      <c r="C8" s="1" t="s">
        <v>221</v>
      </c>
      <c r="F8" s="1">
        <v>392128</v>
      </c>
      <c r="G8" s="43">
        <v>85931</v>
      </c>
      <c r="H8" s="1" t="str">
        <f>VLOOKUP(F8,A4:C16,2,TRUE)</f>
        <v>Favre</v>
      </c>
      <c r="I8" s="1" t="str">
        <f>VLOOKUP(F8,A22:C34,2,TRUE)</f>
        <v>Chicago</v>
      </c>
    </row>
    <row r="9" spans="1:9">
      <c r="A9" s="1">
        <v>549457</v>
      </c>
      <c r="B9" s="1" t="s">
        <v>209</v>
      </c>
      <c r="C9" s="1" t="s">
        <v>218</v>
      </c>
      <c r="F9" s="1">
        <v>391006</v>
      </c>
      <c r="G9" s="43">
        <v>168114</v>
      </c>
      <c r="H9" s="1" t="str">
        <f>VLOOKUP(F9,A5:C17,2,TRUE)</f>
        <v>Pan</v>
      </c>
      <c r="I9" s="1" t="str">
        <f t="shared" ref="I9:I10" si="2">VLOOKUP(F9,A23:C35,2,TRUE)</f>
        <v>Chicago</v>
      </c>
    </row>
    <row r="10" spans="1:9">
      <c r="A10" s="1">
        <v>580622</v>
      </c>
      <c r="B10" s="1" t="s">
        <v>210</v>
      </c>
      <c r="C10" s="1" t="s">
        <v>222</v>
      </c>
      <c r="F10" s="1">
        <v>352711</v>
      </c>
      <c r="G10" s="43">
        <v>89627</v>
      </c>
      <c r="H10" s="1" t="str">
        <f t="shared" si="0"/>
        <v>Chicago</v>
      </c>
      <c r="I10" s="1" t="str">
        <f t="shared" si="2"/>
        <v>Tampa Bay</v>
      </c>
    </row>
    <row r="11" spans="1:9">
      <c r="A11" s="1">
        <v>602693</v>
      </c>
      <c r="B11" s="1" t="s">
        <v>211</v>
      </c>
      <c r="C11" s="1" t="s">
        <v>224</v>
      </c>
      <c r="F11" s="1">
        <v>253072</v>
      </c>
      <c r="G11" s="43">
        <v>149946</v>
      </c>
      <c r="H11" s="1" t="str">
        <f t="shared" si="0"/>
        <v>Chicago</v>
      </c>
      <c r="I11" s="1" t="str">
        <f>VLOOKUP(F11,A22:C34,2,TRUE)</f>
        <v>Chicago</v>
      </c>
    </row>
    <row r="12" spans="1:9">
      <c r="A12" s="1">
        <v>611810</v>
      </c>
      <c r="B12" s="1" t="s">
        <v>212</v>
      </c>
      <c r="C12" s="1" t="s">
        <v>223</v>
      </c>
      <c r="F12" s="1">
        <v>612235</v>
      </c>
      <c r="G12" s="43">
        <v>145893</v>
      </c>
      <c r="H12" s="1" t="str">
        <f t="shared" si="0"/>
        <v>Chicago</v>
      </c>
      <c r="I12" s="1" t="str">
        <f t="shared" si="1"/>
        <v>Tampa Bay</v>
      </c>
    </row>
    <row r="13" spans="1:9">
      <c r="A13" s="1">
        <v>612235</v>
      </c>
      <c r="B13" s="1" t="s">
        <v>213</v>
      </c>
      <c r="C13" s="1" t="s">
        <v>224</v>
      </c>
      <c r="F13" s="1">
        <v>611810</v>
      </c>
      <c r="G13" s="43">
        <v>64757</v>
      </c>
      <c r="H13" s="1" t="str">
        <f t="shared" si="0"/>
        <v>Chicago</v>
      </c>
      <c r="I13" s="1" t="str">
        <f>VLOOKUP(F13,A22:C44,2,TRUE)</f>
        <v>Austin</v>
      </c>
    </row>
    <row r="14" spans="1:9">
      <c r="A14" s="1">
        <v>795574</v>
      </c>
      <c r="B14" s="1" t="s">
        <v>214</v>
      </c>
      <c r="C14" s="1" t="s">
        <v>225</v>
      </c>
      <c r="F14" s="1">
        <v>602693</v>
      </c>
      <c r="G14" s="43">
        <v>71478</v>
      </c>
      <c r="H14" s="1" t="str">
        <f t="shared" si="0"/>
        <v>Tampa Bay</v>
      </c>
      <c r="I14" s="1" t="str">
        <f>VLOOKUP(F14,A22:C44,2,TRUE)</f>
        <v>Tampa Bay</v>
      </c>
    </row>
    <row r="15" spans="1:9">
      <c r="A15" s="1">
        <v>830385</v>
      </c>
      <c r="B15" s="1" t="s">
        <v>215</v>
      </c>
      <c r="C15" s="1" t="s">
        <v>226</v>
      </c>
      <c r="F15" s="1">
        <v>110608</v>
      </c>
      <c r="G15" s="43">
        <v>131505</v>
      </c>
      <c r="H15" s="1" t="str">
        <f t="shared" si="0"/>
        <v>Columbus</v>
      </c>
      <c r="I15" s="1" t="str">
        <f>VLOOKUP(F15,A22:C45,2,TRUE)</f>
        <v>Columbus</v>
      </c>
    </row>
    <row r="16" spans="1:9">
      <c r="A16" s="1">
        <v>990678</v>
      </c>
      <c r="B16" s="1" t="s">
        <v>216</v>
      </c>
      <c r="C16" s="1" t="s">
        <v>227</v>
      </c>
    </row>
    <row r="19" spans="1:3">
      <c r="A19" s="145" t="s">
        <v>233</v>
      </c>
      <c r="B19" s="145"/>
      <c r="C19" s="145"/>
    </row>
    <row r="21" spans="1:3">
      <c r="A21" s="41" t="s">
        <v>234</v>
      </c>
      <c r="B21" s="41" t="s">
        <v>235</v>
      </c>
      <c r="C21" s="41" t="s">
        <v>236</v>
      </c>
    </row>
    <row r="22" spans="1:3">
      <c r="A22" s="1">
        <v>110608</v>
      </c>
      <c r="B22" s="1" t="s">
        <v>237</v>
      </c>
      <c r="C22" s="1" t="s">
        <v>241</v>
      </c>
    </row>
    <row r="23" spans="1:3">
      <c r="A23" s="1">
        <v>253072</v>
      </c>
      <c r="B23" s="1" t="s">
        <v>238</v>
      </c>
      <c r="C23" s="1" t="s">
        <v>242</v>
      </c>
    </row>
    <row r="24" spans="1:3">
      <c r="A24" s="1">
        <v>352711</v>
      </c>
      <c r="B24" s="1" t="s">
        <v>239</v>
      </c>
      <c r="C24" s="1" t="s">
        <v>243</v>
      </c>
    </row>
    <row r="25" spans="1:3">
      <c r="A25" s="1">
        <v>391006</v>
      </c>
      <c r="B25" s="1" t="s">
        <v>238</v>
      </c>
      <c r="C25" s="1" t="s">
        <v>242</v>
      </c>
    </row>
    <row r="26" spans="1:3">
      <c r="A26" s="1">
        <v>392128</v>
      </c>
      <c r="B26" s="1" t="s">
        <v>238</v>
      </c>
      <c r="C26" s="1" t="s">
        <v>242</v>
      </c>
    </row>
    <row r="27" spans="1:3">
      <c r="A27" s="1">
        <v>549457</v>
      </c>
      <c r="B27" s="1" t="s">
        <v>239</v>
      </c>
      <c r="C27" s="1" t="s">
        <v>243</v>
      </c>
    </row>
    <row r="28" spans="1:3">
      <c r="A28" s="1">
        <v>580622</v>
      </c>
      <c r="B28" s="1" t="s">
        <v>237</v>
      </c>
      <c r="C28" s="1" t="s">
        <v>241</v>
      </c>
    </row>
    <row r="29" spans="1:3">
      <c r="A29" s="1">
        <v>602693</v>
      </c>
      <c r="B29" s="1" t="s">
        <v>239</v>
      </c>
      <c r="C29" s="1" t="s">
        <v>243</v>
      </c>
    </row>
    <row r="30" spans="1:3">
      <c r="A30" s="1">
        <v>611810</v>
      </c>
      <c r="B30" s="1" t="s">
        <v>240</v>
      </c>
      <c r="C30" s="1" t="s">
        <v>244</v>
      </c>
    </row>
    <row r="31" spans="1:3">
      <c r="A31" s="1">
        <v>612235</v>
      </c>
      <c r="B31" s="1" t="s">
        <v>239</v>
      </c>
      <c r="C31" s="1" t="s">
        <v>243</v>
      </c>
    </row>
    <row r="32" spans="1:3">
      <c r="A32" s="1">
        <v>795574</v>
      </c>
      <c r="B32" s="1" t="s">
        <v>240</v>
      </c>
      <c r="C32" s="1" t="s">
        <v>244</v>
      </c>
    </row>
    <row r="33" spans="1:3">
      <c r="A33" s="1">
        <v>830385</v>
      </c>
      <c r="B33" s="1" t="s">
        <v>238</v>
      </c>
      <c r="C33" s="1" t="s">
        <v>242</v>
      </c>
    </row>
    <row r="34" spans="1:3">
      <c r="A34" s="1">
        <v>990678</v>
      </c>
      <c r="B34" s="1" t="s">
        <v>240</v>
      </c>
      <c r="C34" s="1" t="s">
        <v>244</v>
      </c>
    </row>
  </sheetData>
  <mergeCells count="3">
    <mergeCell ref="A1:C1"/>
    <mergeCell ref="A19:C19"/>
    <mergeCell ref="F1:I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A6C97-09C9-4F02-90FD-9DA774280D9B}">
  <dimension ref="A1:G15"/>
  <sheetViews>
    <sheetView workbookViewId="0">
      <selection activeCell="J27" sqref="J27:K31"/>
    </sheetView>
  </sheetViews>
  <sheetFormatPr defaultRowHeight="15"/>
  <cols>
    <col min="1" max="1" width="14.7109375" customWidth="1"/>
    <col min="2" max="2" width="11.5703125" customWidth="1"/>
    <col min="5" max="5" width="12.5703125" customWidth="1"/>
    <col min="6" max="6" width="14.7109375" customWidth="1"/>
    <col min="7" max="7" width="15.28515625" customWidth="1"/>
  </cols>
  <sheetData>
    <row r="1" spans="1:7">
      <c r="A1" s="146" t="s">
        <v>245</v>
      </c>
      <c r="B1" s="146"/>
      <c r="E1" s="137" t="s">
        <v>228</v>
      </c>
      <c r="F1" s="137"/>
      <c r="G1" s="137"/>
    </row>
    <row r="2" spans="1:7">
      <c r="E2" s="38" t="s">
        <v>229</v>
      </c>
      <c r="F2" s="38" t="s">
        <v>230</v>
      </c>
      <c r="G2" s="38" t="s">
        <v>247</v>
      </c>
    </row>
    <row r="3" spans="1:7">
      <c r="A3" s="44" t="s">
        <v>246</v>
      </c>
      <c r="B3" s="44" t="s">
        <v>247</v>
      </c>
      <c r="E3" s="1">
        <v>990678</v>
      </c>
      <c r="F3" s="43">
        <v>84289</v>
      </c>
      <c r="G3" s="1" t="str">
        <f>VLOOKUP(E3,A4:B8,2,TRUE)</f>
        <v>Level E</v>
      </c>
    </row>
    <row r="4" spans="1:7">
      <c r="A4" s="43">
        <v>25000</v>
      </c>
      <c r="B4" s="1" t="s">
        <v>248</v>
      </c>
      <c r="E4" s="1">
        <v>830385</v>
      </c>
      <c r="F4" s="43">
        <v>137670</v>
      </c>
      <c r="G4" s="1" t="str">
        <f t="shared" ref="G4:G7" si="0">VLOOKUP(E4,A5:B9,2,TRUE)</f>
        <v>Level E</v>
      </c>
    </row>
    <row r="5" spans="1:7">
      <c r="A5" s="43">
        <v>50000</v>
      </c>
      <c r="B5" s="1" t="s">
        <v>249</v>
      </c>
      <c r="E5" s="1">
        <v>795574</v>
      </c>
      <c r="F5" s="43">
        <v>190024</v>
      </c>
      <c r="G5" s="1" t="str">
        <f t="shared" si="0"/>
        <v>Level E</v>
      </c>
    </row>
    <row r="6" spans="1:7">
      <c r="A6" s="43">
        <v>75000</v>
      </c>
      <c r="B6" s="1" t="s">
        <v>250</v>
      </c>
      <c r="E6" s="1">
        <v>580622</v>
      </c>
      <c r="F6" s="43">
        <v>122604</v>
      </c>
      <c r="G6" s="1" t="str">
        <f t="shared" si="0"/>
        <v>Level E</v>
      </c>
    </row>
    <row r="7" spans="1:7">
      <c r="A7" s="43">
        <v>100000</v>
      </c>
      <c r="B7" s="1" t="s">
        <v>251</v>
      </c>
      <c r="E7" s="1">
        <v>549457</v>
      </c>
      <c r="F7" s="43">
        <v>111709</v>
      </c>
      <c r="G7" s="1" t="str">
        <f t="shared" si="0"/>
        <v>Level E</v>
      </c>
    </row>
    <row r="8" spans="1:7">
      <c r="A8" s="43">
        <v>150000</v>
      </c>
      <c r="B8" s="1" t="s">
        <v>252</v>
      </c>
      <c r="E8" s="1">
        <v>392128</v>
      </c>
      <c r="F8" s="43">
        <v>85931</v>
      </c>
      <c r="G8" s="1" t="str">
        <f>VLOOKUP(E8,A4:B8,2,TRUE)</f>
        <v>Level E</v>
      </c>
    </row>
    <row r="9" spans="1:7">
      <c r="E9" s="1">
        <v>391006</v>
      </c>
      <c r="F9" s="43">
        <v>168114</v>
      </c>
      <c r="G9" s="1" t="str">
        <f t="shared" ref="G9:G12" si="1">VLOOKUP(E9,A5:B9,2,TRUE)</f>
        <v>Level E</v>
      </c>
    </row>
    <row r="10" spans="1:7">
      <c r="E10" s="1">
        <v>352711</v>
      </c>
      <c r="F10" s="43">
        <v>89627</v>
      </c>
      <c r="G10" s="1" t="str">
        <f t="shared" si="1"/>
        <v>Level E</v>
      </c>
    </row>
    <row r="11" spans="1:7">
      <c r="E11" s="1">
        <v>253072</v>
      </c>
      <c r="F11" s="43">
        <v>149946</v>
      </c>
      <c r="G11" s="1" t="str">
        <f t="shared" si="1"/>
        <v>Level E</v>
      </c>
    </row>
    <row r="12" spans="1:7">
      <c r="E12" s="1">
        <v>612235</v>
      </c>
      <c r="F12" s="43">
        <v>145893</v>
      </c>
      <c r="G12" s="1" t="str">
        <f t="shared" si="1"/>
        <v>Level E</v>
      </c>
    </row>
    <row r="13" spans="1:7">
      <c r="E13" s="1">
        <v>611810</v>
      </c>
      <c r="F13" s="43">
        <v>64757</v>
      </c>
      <c r="G13" s="1" t="str">
        <f>VLOOKUP(E13,A4:B8,2,TRUE)</f>
        <v>Level E</v>
      </c>
    </row>
    <row r="14" spans="1:7">
      <c r="E14" s="1">
        <v>602693</v>
      </c>
      <c r="F14" s="43">
        <v>71478</v>
      </c>
      <c r="G14" s="1" t="str">
        <f t="shared" ref="G14:G15" si="2">VLOOKUP(E14,A5:B9,2,TRUE)</f>
        <v>Level E</v>
      </c>
    </row>
    <row r="15" spans="1:7">
      <c r="E15" s="1">
        <v>110608</v>
      </c>
      <c r="F15" s="43">
        <v>131505</v>
      </c>
      <c r="G15" s="1" t="str">
        <f t="shared" si="2"/>
        <v>Level D</v>
      </c>
    </row>
  </sheetData>
  <mergeCells count="2">
    <mergeCell ref="A1:B1"/>
    <mergeCell ref="E1:G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9685C-8524-4019-87E7-698461013415}">
  <dimension ref="A1:G21"/>
  <sheetViews>
    <sheetView workbookViewId="0">
      <selection activeCell="K19" sqref="K19"/>
    </sheetView>
  </sheetViews>
  <sheetFormatPr defaultRowHeight="15"/>
  <cols>
    <col min="1" max="1" width="25.28515625" style="72" customWidth="1"/>
    <col min="2" max="2" width="21.5703125" style="72" customWidth="1"/>
    <col min="3" max="3" width="18.42578125" style="72" customWidth="1"/>
    <col min="4" max="4" width="21.140625" style="72" customWidth="1"/>
    <col min="5" max="5" width="9.140625" style="72"/>
    <col min="6" max="6" width="14" style="72" customWidth="1"/>
    <col min="7" max="7" width="12.7109375" style="72" customWidth="1"/>
    <col min="8" max="16384" width="9.140625" style="72"/>
  </cols>
  <sheetData>
    <row r="1" spans="1:7" ht="24">
      <c r="A1" s="147" t="s">
        <v>351</v>
      </c>
      <c r="B1" s="147"/>
      <c r="C1" s="147"/>
      <c r="D1" s="147"/>
      <c r="E1" s="147"/>
      <c r="F1" s="147"/>
      <c r="G1" s="147"/>
    </row>
    <row r="3" spans="1:7" ht="15.75">
      <c r="A3" s="73" t="s">
        <v>202</v>
      </c>
      <c r="B3" s="73" t="s">
        <v>352</v>
      </c>
      <c r="C3" s="73" t="s">
        <v>53</v>
      </c>
      <c r="D3" s="73" t="s">
        <v>350</v>
      </c>
      <c r="E3" s="73" t="s">
        <v>193</v>
      </c>
      <c r="F3" s="73" t="s">
        <v>256</v>
      </c>
      <c r="G3" s="73" t="s">
        <v>56</v>
      </c>
    </row>
    <row r="4" spans="1:7">
      <c r="A4" s="74" t="s">
        <v>353</v>
      </c>
      <c r="B4" s="75" t="s">
        <v>103</v>
      </c>
      <c r="C4" s="74" t="s">
        <v>354</v>
      </c>
      <c r="D4" s="74" t="s">
        <v>355</v>
      </c>
      <c r="E4" s="74">
        <v>18000</v>
      </c>
      <c r="F4" s="74" t="s">
        <v>356</v>
      </c>
      <c r="G4" s="74" t="s">
        <v>357</v>
      </c>
    </row>
    <row r="5" spans="1:7">
      <c r="A5" s="74" t="s">
        <v>358</v>
      </c>
      <c r="B5" s="75" t="s">
        <v>327</v>
      </c>
      <c r="C5" s="74" t="s">
        <v>65</v>
      </c>
      <c r="D5" s="74" t="s">
        <v>359</v>
      </c>
      <c r="E5" s="74">
        <v>22000</v>
      </c>
      <c r="F5" s="74" t="s">
        <v>356</v>
      </c>
      <c r="G5" s="74" t="s">
        <v>357</v>
      </c>
    </row>
    <row r="6" spans="1:7">
      <c r="A6" s="74" t="s">
        <v>360</v>
      </c>
      <c r="B6" s="75" t="s">
        <v>123</v>
      </c>
      <c r="C6" s="74" t="s">
        <v>198</v>
      </c>
      <c r="D6" s="74" t="s">
        <v>361</v>
      </c>
      <c r="E6" s="74">
        <v>25000</v>
      </c>
      <c r="F6" s="74" t="s">
        <v>362</v>
      </c>
      <c r="G6" s="74" t="s">
        <v>357</v>
      </c>
    </row>
    <row r="7" spans="1:7">
      <c r="A7" s="74" t="s">
        <v>363</v>
      </c>
      <c r="B7" s="75" t="s">
        <v>329</v>
      </c>
      <c r="C7" s="74" t="s">
        <v>354</v>
      </c>
      <c r="D7" s="74" t="s">
        <v>259</v>
      </c>
      <c r="E7" s="74">
        <v>20000</v>
      </c>
      <c r="F7" s="74" t="s">
        <v>356</v>
      </c>
      <c r="G7" s="74" t="s">
        <v>357</v>
      </c>
    </row>
    <row r="8" spans="1:7">
      <c r="A8" s="74" t="s">
        <v>364</v>
      </c>
      <c r="B8" s="75" t="s">
        <v>330</v>
      </c>
      <c r="C8" s="74" t="s">
        <v>64</v>
      </c>
      <c r="D8" s="74" t="s">
        <v>365</v>
      </c>
      <c r="E8" s="74">
        <v>28000</v>
      </c>
      <c r="F8" s="74" t="s">
        <v>356</v>
      </c>
      <c r="G8" s="74" t="s">
        <v>357</v>
      </c>
    </row>
    <row r="9" spans="1:7">
      <c r="A9" s="74" t="s">
        <v>366</v>
      </c>
      <c r="B9" s="75" t="s">
        <v>197</v>
      </c>
      <c r="C9" s="74" t="s">
        <v>354</v>
      </c>
      <c r="D9" s="74" t="s">
        <v>367</v>
      </c>
      <c r="E9" s="74">
        <v>17500</v>
      </c>
      <c r="F9" s="74" t="s">
        <v>368</v>
      </c>
      <c r="G9" s="74" t="s">
        <v>369</v>
      </c>
    </row>
    <row r="10" spans="1:7">
      <c r="A10" s="74" t="s">
        <v>370</v>
      </c>
      <c r="B10" s="75" t="s">
        <v>331</v>
      </c>
      <c r="C10" s="74" t="s">
        <v>64</v>
      </c>
      <c r="D10" s="74" t="s">
        <v>371</v>
      </c>
      <c r="E10" s="74">
        <v>30000</v>
      </c>
      <c r="F10" s="74" t="s">
        <v>267</v>
      </c>
      <c r="G10" s="74" t="s">
        <v>357</v>
      </c>
    </row>
    <row r="11" spans="1:7">
      <c r="A11" s="74" t="s">
        <v>372</v>
      </c>
      <c r="B11" s="75" t="s">
        <v>332</v>
      </c>
      <c r="C11" s="74" t="s">
        <v>65</v>
      </c>
      <c r="D11" s="74" t="s">
        <v>373</v>
      </c>
      <c r="E11" s="74">
        <v>24000</v>
      </c>
      <c r="F11" s="74" t="s">
        <v>356</v>
      </c>
      <c r="G11" s="74" t="s">
        <v>357</v>
      </c>
    </row>
    <row r="12" spans="1:7">
      <c r="A12" s="74" t="s">
        <v>374</v>
      </c>
      <c r="B12" s="75" t="s">
        <v>334</v>
      </c>
      <c r="C12" s="74" t="s">
        <v>198</v>
      </c>
      <c r="D12" s="74" t="s">
        <v>375</v>
      </c>
      <c r="E12" s="74">
        <v>26000</v>
      </c>
      <c r="F12" s="74" t="s">
        <v>362</v>
      </c>
      <c r="G12" s="74" t="s">
        <v>357</v>
      </c>
    </row>
    <row r="13" spans="1:7">
      <c r="A13" s="74" t="s">
        <v>376</v>
      </c>
      <c r="B13" s="75" t="s">
        <v>335</v>
      </c>
      <c r="C13" s="74" t="s">
        <v>354</v>
      </c>
      <c r="D13" s="74" t="s">
        <v>377</v>
      </c>
      <c r="E13" s="74">
        <v>19000</v>
      </c>
      <c r="F13" s="74" t="s">
        <v>356</v>
      </c>
      <c r="G13" s="74" t="s">
        <v>357</v>
      </c>
    </row>
    <row r="16" spans="1:7" ht="15.75">
      <c r="A16" s="148" t="s">
        <v>378</v>
      </c>
      <c r="B16" s="149"/>
      <c r="C16" s="149"/>
      <c r="D16" s="149"/>
    </row>
    <row r="17" spans="1:4">
      <c r="A17" s="74" t="s">
        <v>379</v>
      </c>
      <c r="B17" s="74" t="s">
        <v>363</v>
      </c>
      <c r="C17" s="74" t="s">
        <v>115</v>
      </c>
      <c r="D17" s="74" t="str">
        <f>_xlfn.XLOOKUP(B17,A4:A13,B4:B13,"NOT FOUND")</f>
        <v>Abi</v>
      </c>
    </row>
    <row r="18" spans="1:4">
      <c r="A18" s="74" t="s">
        <v>379</v>
      </c>
      <c r="B18" s="74" t="s">
        <v>370</v>
      </c>
      <c r="C18" s="74" t="s">
        <v>380</v>
      </c>
      <c r="D18" s="74" t="str">
        <f>_xlfn.XLOOKUP(B18,A4:A13,C4:C13,"NOT FOUND")</f>
        <v>IT</v>
      </c>
    </row>
    <row r="19" spans="1:4">
      <c r="A19" s="74" t="s">
        <v>379</v>
      </c>
      <c r="B19" s="74" t="s">
        <v>364</v>
      </c>
      <c r="C19" s="74" t="s">
        <v>381</v>
      </c>
      <c r="D19" s="76">
        <f>_xlfn.XLOOKUP(B19,A4:A13,E4:E13,"NOT FOUND")</f>
        <v>28000</v>
      </c>
    </row>
    <row r="20" spans="1:4">
      <c r="A20" s="74" t="s">
        <v>379</v>
      </c>
      <c r="B20" s="74" t="s">
        <v>376</v>
      </c>
      <c r="C20" s="74" t="s">
        <v>382</v>
      </c>
      <c r="D20" s="74" t="str">
        <f>_xlfn.XLOOKUP(B20,A4:A13,F4:F13,"NOT FOUND")</f>
        <v xml:space="preserve">Chennai </v>
      </c>
    </row>
    <row r="21" spans="1:4">
      <c r="A21" s="74" t="s">
        <v>379</v>
      </c>
      <c r="B21" s="74" t="s">
        <v>358</v>
      </c>
      <c r="C21" s="74" t="s">
        <v>383</v>
      </c>
      <c r="D21" s="74" t="str">
        <f>_xlfn.XLOOKUP(B21,A4:A13,D4:D13,"NOT FOUND")</f>
        <v>HR Executive</v>
      </c>
    </row>
  </sheetData>
  <mergeCells count="2">
    <mergeCell ref="A1:G1"/>
    <mergeCell ref="A16:D1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4FE3B-EFC8-497D-98DD-C0975FBFC1D1}">
  <dimension ref="A1:F22"/>
  <sheetViews>
    <sheetView workbookViewId="0">
      <selection activeCell="H21" sqref="H21"/>
    </sheetView>
  </sheetViews>
  <sheetFormatPr defaultRowHeight="15.75"/>
  <cols>
    <col min="1" max="1" width="22.140625" style="82" customWidth="1"/>
    <col min="2" max="2" width="16.140625" style="82" customWidth="1"/>
    <col min="3" max="16384" width="9.140625" style="82"/>
  </cols>
  <sheetData>
    <row r="1" spans="1:6">
      <c r="A1" s="150" t="s">
        <v>384</v>
      </c>
      <c r="B1" s="150"/>
      <c r="C1" s="150"/>
      <c r="D1" s="150"/>
      <c r="E1" s="150"/>
      <c r="F1" s="150"/>
    </row>
    <row r="3" spans="1:6">
      <c r="A3" s="77" t="s">
        <v>202</v>
      </c>
      <c r="B3" s="77" t="s">
        <v>385</v>
      </c>
      <c r="C3" s="77" t="s">
        <v>386</v>
      </c>
      <c r="D3" s="77" t="s">
        <v>387</v>
      </c>
      <c r="E3" s="77" t="s">
        <v>388</v>
      </c>
      <c r="F3" s="77" t="s">
        <v>389</v>
      </c>
    </row>
    <row r="4" spans="1:6">
      <c r="A4" s="83" t="s">
        <v>352</v>
      </c>
      <c r="B4" s="84" t="s">
        <v>103</v>
      </c>
      <c r="C4" s="83" t="s">
        <v>327</v>
      </c>
      <c r="D4" s="83" t="s">
        <v>330</v>
      </c>
      <c r="E4" s="83" t="s">
        <v>123</v>
      </c>
      <c r="F4" s="83" t="s">
        <v>329</v>
      </c>
    </row>
    <row r="5" spans="1:6">
      <c r="A5" s="83" t="s">
        <v>53</v>
      </c>
      <c r="B5" s="84" t="s">
        <v>390</v>
      </c>
      <c r="C5" s="83" t="s">
        <v>65</v>
      </c>
      <c r="D5" s="83" t="s">
        <v>354</v>
      </c>
      <c r="E5" s="83" t="s">
        <v>198</v>
      </c>
      <c r="F5" s="83" t="s">
        <v>391</v>
      </c>
    </row>
    <row r="6" spans="1:6">
      <c r="A6" s="83" t="s">
        <v>392</v>
      </c>
      <c r="B6" s="85">
        <v>22000</v>
      </c>
      <c r="C6" s="86">
        <v>25000</v>
      </c>
      <c r="D6" s="86">
        <v>33000</v>
      </c>
      <c r="E6" s="86">
        <v>28000</v>
      </c>
      <c r="F6" s="86">
        <v>24000</v>
      </c>
    </row>
    <row r="7" spans="1:6">
      <c r="B7" s="87"/>
    </row>
    <row r="8" spans="1:6">
      <c r="A8" s="77" t="s">
        <v>393</v>
      </c>
      <c r="B8" s="77" t="s">
        <v>387</v>
      </c>
    </row>
    <row r="9" spans="1:6">
      <c r="A9" s="83" t="s">
        <v>352</v>
      </c>
      <c r="B9" s="84" t="str">
        <f>HLOOKUP(B8,B3:F6,2,FALSE)</f>
        <v>Lavanya</v>
      </c>
    </row>
    <row r="10" spans="1:6">
      <c r="A10" s="83" t="s">
        <v>53</v>
      </c>
      <c r="B10" s="84" t="str">
        <f>HLOOKUP(B8,B3:F6,3,FALSE)</f>
        <v>ITES</v>
      </c>
    </row>
    <row r="11" spans="1:6">
      <c r="A11" s="83" t="s">
        <v>392</v>
      </c>
      <c r="B11" s="85">
        <f>HLOOKUP(B8,B3:F6,4,FALSE)</f>
        <v>33000</v>
      </c>
    </row>
    <row r="12" spans="1:6">
      <c r="B12" s="87"/>
    </row>
    <row r="13" spans="1:6">
      <c r="B13" s="87"/>
    </row>
    <row r="14" spans="1:6">
      <c r="A14" s="77" t="s">
        <v>174</v>
      </c>
      <c r="B14" s="77" t="s">
        <v>394</v>
      </c>
      <c r="C14" s="77" t="s">
        <v>395</v>
      </c>
      <c r="D14" s="77" t="s">
        <v>396</v>
      </c>
      <c r="E14" s="77" t="s">
        <v>397</v>
      </c>
      <c r="F14" s="77" t="s">
        <v>398</v>
      </c>
    </row>
    <row r="15" spans="1:6">
      <c r="A15" s="83" t="s">
        <v>399</v>
      </c>
      <c r="B15" s="83" t="s">
        <v>400</v>
      </c>
      <c r="C15" s="83" t="s">
        <v>268</v>
      </c>
      <c r="D15" s="83" t="s">
        <v>401</v>
      </c>
      <c r="E15" s="83" t="s">
        <v>263</v>
      </c>
      <c r="F15" s="83" t="s">
        <v>402</v>
      </c>
    </row>
    <row r="16" spans="1:6">
      <c r="A16" s="83" t="s">
        <v>403</v>
      </c>
      <c r="B16" s="83" t="s">
        <v>64</v>
      </c>
      <c r="C16" s="83" t="s">
        <v>64</v>
      </c>
      <c r="D16" s="83" t="s">
        <v>404</v>
      </c>
      <c r="E16" s="83" t="s">
        <v>405</v>
      </c>
      <c r="F16" s="83" t="s">
        <v>406</v>
      </c>
    </row>
    <row r="17" spans="1:6">
      <c r="A17" s="83" t="s">
        <v>407</v>
      </c>
      <c r="B17" s="86">
        <v>850</v>
      </c>
      <c r="C17" s="86">
        <v>450</v>
      </c>
      <c r="D17" s="86">
        <v>1200</v>
      </c>
      <c r="E17" s="86">
        <v>9500</v>
      </c>
      <c r="F17" s="86">
        <v>1800</v>
      </c>
    </row>
    <row r="19" spans="1:6">
      <c r="A19" s="77" t="s">
        <v>408</v>
      </c>
      <c r="B19" s="77" t="s">
        <v>397</v>
      </c>
    </row>
    <row r="20" spans="1:6">
      <c r="A20" s="83" t="s">
        <v>399</v>
      </c>
      <c r="B20" s="83" t="str">
        <f>HLOOKUP(B19,B14:F17,2,FALSE)</f>
        <v>Monitor</v>
      </c>
    </row>
    <row r="21" spans="1:6">
      <c r="A21" s="83" t="s">
        <v>403</v>
      </c>
      <c r="B21" s="83" t="str">
        <f>HLOOKUP(B19,B14:F17,3,FALSE)</f>
        <v>Display</v>
      </c>
    </row>
    <row r="22" spans="1:6">
      <c r="A22" s="83" t="s">
        <v>407</v>
      </c>
      <c r="B22" s="86">
        <f>HLOOKUP(B19,B14:F17,4,FALSE)</f>
        <v>9500</v>
      </c>
    </row>
  </sheetData>
  <mergeCells count="1">
    <mergeCell ref="A1:F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5A2D3-7666-49B0-9A22-334D739E26B8}">
  <dimension ref="A1:H43"/>
  <sheetViews>
    <sheetView workbookViewId="0">
      <selection activeCell="P30" sqref="P30"/>
    </sheetView>
  </sheetViews>
  <sheetFormatPr defaultRowHeight="15"/>
  <cols>
    <col min="1" max="1" width="20.42578125" style="63" customWidth="1"/>
    <col min="2" max="2" width="18.5703125" style="63" customWidth="1"/>
    <col min="3" max="3" width="18.28515625" style="63" customWidth="1"/>
    <col min="4" max="4" width="18.42578125" style="63" customWidth="1"/>
    <col min="5" max="5" width="17" style="63" customWidth="1"/>
    <col min="6" max="6" width="17.140625" style="63" customWidth="1"/>
    <col min="7" max="7" width="16.7109375" style="63" customWidth="1"/>
    <col min="8" max="8" width="14.5703125" style="63" customWidth="1"/>
    <col min="9" max="16384" width="9.140625" style="63"/>
  </cols>
  <sheetData>
    <row r="1" spans="1:8" ht="21">
      <c r="A1" s="151" t="s">
        <v>409</v>
      </c>
      <c r="B1" s="151"/>
      <c r="C1" s="151"/>
      <c r="D1" s="151"/>
      <c r="E1" s="151"/>
      <c r="F1" s="151"/>
      <c r="G1" s="151"/>
      <c r="H1" s="151"/>
    </row>
    <row r="3" spans="1:8" ht="15.75">
      <c r="A3" s="88" t="s">
        <v>202</v>
      </c>
      <c r="B3" s="88" t="s">
        <v>352</v>
      </c>
      <c r="C3" s="88" t="s">
        <v>53</v>
      </c>
      <c r="D3" s="88" t="s">
        <v>410</v>
      </c>
      <c r="E3" s="88" t="s">
        <v>193</v>
      </c>
      <c r="F3" s="88" t="s">
        <v>256</v>
      </c>
      <c r="G3" s="88" t="s">
        <v>411</v>
      </c>
      <c r="H3" s="88" t="s">
        <v>56</v>
      </c>
    </row>
    <row r="4" spans="1:8">
      <c r="A4" s="78" t="s">
        <v>353</v>
      </c>
      <c r="B4" s="79" t="s">
        <v>103</v>
      </c>
      <c r="C4" s="78" t="s">
        <v>354</v>
      </c>
      <c r="D4" s="78" t="s">
        <v>355</v>
      </c>
      <c r="E4" s="81">
        <v>18000</v>
      </c>
      <c r="F4" s="78" t="s">
        <v>356</v>
      </c>
      <c r="G4" s="90">
        <v>45453</v>
      </c>
      <c r="H4" s="78" t="s">
        <v>357</v>
      </c>
    </row>
    <row r="5" spans="1:8">
      <c r="A5" s="78" t="s">
        <v>358</v>
      </c>
      <c r="B5" s="79" t="s">
        <v>327</v>
      </c>
      <c r="C5" s="78" t="s">
        <v>65</v>
      </c>
      <c r="D5" s="78" t="s">
        <v>359</v>
      </c>
      <c r="E5" s="81">
        <v>22000</v>
      </c>
      <c r="F5" s="78" t="s">
        <v>356</v>
      </c>
      <c r="G5" s="90">
        <v>45159</v>
      </c>
      <c r="H5" s="78" t="s">
        <v>357</v>
      </c>
    </row>
    <row r="6" spans="1:8">
      <c r="A6" s="78" t="s">
        <v>360</v>
      </c>
      <c r="B6" s="79" t="s">
        <v>123</v>
      </c>
      <c r="C6" s="78" t="s">
        <v>198</v>
      </c>
      <c r="D6" s="78" t="s">
        <v>361</v>
      </c>
      <c r="E6" s="81">
        <v>25000</v>
      </c>
      <c r="F6" s="78" t="s">
        <v>362</v>
      </c>
      <c r="G6" s="90">
        <v>44880</v>
      </c>
      <c r="H6" s="78" t="s">
        <v>357</v>
      </c>
    </row>
    <row r="7" spans="1:8">
      <c r="A7" s="78" t="s">
        <v>363</v>
      </c>
      <c r="B7" s="79" t="s">
        <v>329</v>
      </c>
      <c r="C7" s="78" t="s">
        <v>354</v>
      </c>
      <c r="D7" s="78" t="s">
        <v>259</v>
      </c>
      <c r="E7" s="81">
        <v>20000</v>
      </c>
      <c r="F7" s="78" t="s">
        <v>356</v>
      </c>
      <c r="G7" s="90">
        <v>45299</v>
      </c>
      <c r="H7" s="78" t="s">
        <v>357</v>
      </c>
    </row>
    <row r="8" spans="1:8">
      <c r="A8" s="78" t="s">
        <v>364</v>
      </c>
      <c r="B8" s="79" t="s">
        <v>330</v>
      </c>
      <c r="C8" s="78" t="s">
        <v>64</v>
      </c>
      <c r="D8" s="78" t="s">
        <v>365</v>
      </c>
      <c r="E8" s="81">
        <v>28000</v>
      </c>
      <c r="F8" s="78" t="s">
        <v>356</v>
      </c>
      <c r="G8" s="90">
        <v>44396</v>
      </c>
      <c r="H8" s="78" t="s">
        <v>357</v>
      </c>
    </row>
    <row r="9" spans="1:8">
      <c r="A9" s="78" t="s">
        <v>366</v>
      </c>
      <c r="B9" s="79" t="s">
        <v>197</v>
      </c>
      <c r="C9" s="78" t="s">
        <v>354</v>
      </c>
      <c r="D9" s="78" t="s">
        <v>367</v>
      </c>
      <c r="E9" s="81">
        <v>17500</v>
      </c>
      <c r="F9" s="78" t="s">
        <v>368</v>
      </c>
      <c r="G9" s="90">
        <v>45012</v>
      </c>
      <c r="H9" s="78" t="s">
        <v>369</v>
      </c>
    </row>
    <row r="10" spans="1:8">
      <c r="A10" s="78" t="s">
        <v>370</v>
      </c>
      <c r="B10" s="79" t="s">
        <v>331</v>
      </c>
      <c r="C10" s="78" t="s">
        <v>64</v>
      </c>
      <c r="D10" s="78" t="s">
        <v>371</v>
      </c>
      <c r="E10" s="81">
        <v>30000</v>
      </c>
      <c r="F10" s="78" t="s">
        <v>267</v>
      </c>
      <c r="G10" s="90">
        <v>45537</v>
      </c>
      <c r="H10" s="78" t="s">
        <v>357</v>
      </c>
    </row>
    <row r="11" spans="1:8">
      <c r="A11" s="78" t="s">
        <v>372</v>
      </c>
      <c r="B11" s="79" t="s">
        <v>332</v>
      </c>
      <c r="C11" s="78" t="s">
        <v>65</v>
      </c>
      <c r="D11" s="78" t="s">
        <v>373</v>
      </c>
      <c r="E11" s="81">
        <v>24000</v>
      </c>
      <c r="F11" s="78" t="s">
        <v>356</v>
      </c>
      <c r="G11" s="90">
        <v>44711</v>
      </c>
      <c r="H11" s="78" t="s">
        <v>357</v>
      </c>
    </row>
    <row r="12" spans="1:8">
      <c r="A12" s="78" t="s">
        <v>374</v>
      </c>
      <c r="B12" s="79" t="s">
        <v>334</v>
      </c>
      <c r="C12" s="78" t="s">
        <v>198</v>
      </c>
      <c r="D12" s="78" t="s">
        <v>375</v>
      </c>
      <c r="E12" s="81">
        <v>26000</v>
      </c>
      <c r="F12" s="78" t="s">
        <v>362</v>
      </c>
      <c r="G12" s="90">
        <v>45271</v>
      </c>
      <c r="H12" s="78" t="s">
        <v>357</v>
      </c>
    </row>
    <row r="13" spans="1:8">
      <c r="A13" s="78" t="s">
        <v>376</v>
      </c>
      <c r="B13" s="79" t="s">
        <v>335</v>
      </c>
      <c r="C13" s="78" t="s">
        <v>354</v>
      </c>
      <c r="D13" s="78" t="s">
        <v>377</v>
      </c>
      <c r="E13" s="81">
        <v>19000</v>
      </c>
      <c r="F13" s="78" t="s">
        <v>356</v>
      </c>
      <c r="G13" s="90">
        <v>44109</v>
      </c>
      <c r="H13" s="78" t="s">
        <v>357</v>
      </c>
    </row>
    <row r="16" spans="1:8" ht="18.75">
      <c r="A16" s="152" t="s">
        <v>412</v>
      </c>
      <c r="B16" s="152"/>
      <c r="C16" s="152"/>
      <c r="D16" s="152"/>
      <c r="E16" s="152"/>
      <c r="F16" s="152"/>
      <c r="G16" s="152"/>
      <c r="H16" s="152"/>
    </row>
    <row r="17" spans="1:8" ht="15.75">
      <c r="A17" s="89" t="s">
        <v>202</v>
      </c>
      <c r="B17" s="89" t="s">
        <v>352</v>
      </c>
      <c r="C17" s="89" t="s">
        <v>53</v>
      </c>
      <c r="D17" s="89" t="s">
        <v>410</v>
      </c>
      <c r="E17" s="89" t="s">
        <v>193</v>
      </c>
      <c r="F17" s="89" t="s">
        <v>256</v>
      </c>
      <c r="G17" s="89" t="s">
        <v>411</v>
      </c>
      <c r="H17" s="89" t="s">
        <v>56</v>
      </c>
    </row>
    <row r="18" spans="1:8">
      <c r="A18" s="78" t="s">
        <v>366</v>
      </c>
      <c r="B18" s="78" t="str">
        <f>VLOOKUP(A18,A4:H13,2,FALSE)</f>
        <v>Divya</v>
      </c>
      <c r="C18" s="78" t="str">
        <f>VLOOKUP(A18,A4:H13,3,FALSE)</f>
        <v>ITES</v>
      </c>
      <c r="D18" s="78" t="str">
        <f>VLOOKUP(A18,A4:H13,4,FALSE)</f>
        <v>Data Entey</v>
      </c>
      <c r="E18" s="81">
        <f>VLOOKUP(A18,A4:H13,5,FALSE)</f>
        <v>17500</v>
      </c>
      <c r="F18" s="78" t="str">
        <f>VLOOKUP(A18,A4:H13,6,FALSE)</f>
        <v>Coimbatore</v>
      </c>
      <c r="G18" s="90">
        <f>VLOOKUP(A18,A4:H13,7,FALSE)</f>
        <v>45012</v>
      </c>
      <c r="H18" s="78" t="str">
        <f>VLOOKUP(A18,A4:H13,8,FALSE)</f>
        <v>Inactive</v>
      </c>
    </row>
    <row r="21" spans="1:8" ht="18.75">
      <c r="A21" s="153" t="s">
        <v>413</v>
      </c>
      <c r="B21" s="153"/>
      <c r="C21" s="153"/>
      <c r="D21" s="153"/>
    </row>
    <row r="22" spans="1:8">
      <c r="A22" s="78" t="s">
        <v>379</v>
      </c>
      <c r="B22" s="78" t="s">
        <v>363</v>
      </c>
      <c r="C22" s="78" t="s">
        <v>115</v>
      </c>
      <c r="D22" s="78" t="str">
        <f>_xlfn.XLOOKUP(B22,A4:A13,B4:B13,"not found")</f>
        <v>Abi</v>
      </c>
    </row>
    <row r="23" spans="1:8">
      <c r="A23" s="78" t="s">
        <v>379</v>
      </c>
      <c r="B23" s="78" t="s">
        <v>370</v>
      </c>
      <c r="C23" s="78" t="s">
        <v>380</v>
      </c>
      <c r="D23" s="78" t="str">
        <f>_xlfn.XLOOKUP(B23,A4:A13,C4:C13,"not found")</f>
        <v>IT</v>
      </c>
    </row>
    <row r="24" spans="1:8">
      <c r="A24" s="78" t="s">
        <v>379</v>
      </c>
      <c r="B24" s="78" t="s">
        <v>364</v>
      </c>
      <c r="C24" s="78" t="s">
        <v>414</v>
      </c>
      <c r="D24" s="78" t="str">
        <f>_xlfn.XLOOKUP(B24,A4:A13,D4:D13,"not found")</f>
        <v>MIS Executive</v>
      </c>
    </row>
    <row r="25" spans="1:8">
      <c r="A25" s="78" t="s">
        <v>379</v>
      </c>
      <c r="B25" s="78" t="s">
        <v>376</v>
      </c>
      <c r="C25" s="78" t="s">
        <v>381</v>
      </c>
      <c r="D25" s="81">
        <f>_xlfn.XLOOKUP(B25,A4:A13,E4:E13,"not found")</f>
        <v>19000</v>
      </c>
    </row>
    <row r="26" spans="1:8">
      <c r="A26" s="78" t="s">
        <v>379</v>
      </c>
      <c r="B26" s="78" t="s">
        <v>358</v>
      </c>
      <c r="C26" s="78" t="s">
        <v>382</v>
      </c>
      <c r="D26" s="78" t="str">
        <f>_xlfn.XLOOKUP(B26,A4:A13,F4:F13,"not found")</f>
        <v xml:space="preserve">Chennai </v>
      </c>
    </row>
    <row r="29" spans="1:8" ht="21">
      <c r="A29" s="154" t="s">
        <v>415</v>
      </c>
      <c r="B29" s="154"/>
      <c r="C29" s="154"/>
      <c r="D29" s="154"/>
      <c r="E29" s="154"/>
      <c r="F29" s="154"/>
    </row>
    <row r="31" spans="1:8" ht="15.75">
      <c r="A31" s="77" t="s">
        <v>202</v>
      </c>
      <c r="B31" s="77" t="s">
        <v>385</v>
      </c>
      <c r="C31" s="77" t="s">
        <v>386</v>
      </c>
      <c r="D31" s="77" t="s">
        <v>387</v>
      </c>
      <c r="E31" s="77" t="s">
        <v>388</v>
      </c>
      <c r="F31" s="77" t="s">
        <v>389</v>
      </c>
    </row>
    <row r="32" spans="1:8">
      <c r="A32" s="78" t="s">
        <v>352</v>
      </c>
      <c r="B32" s="79" t="s">
        <v>103</v>
      </c>
      <c r="C32" s="78" t="s">
        <v>327</v>
      </c>
      <c r="D32" s="78" t="s">
        <v>330</v>
      </c>
      <c r="E32" s="78" t="s">
        <v>123</v>
      </c>
      <c r="F32" s="78" t="s">
        <v>329</v>
      </c>
    </row>
    <row r="33" spans="1:6">
      <c r="A33" s="78" t="s">
        <v>53</v>
      </c>
      <c r="B33" s="79" t="s">
        <v>390</v>
      </c>
      <c r="C33" s="78" t="s">
        <v>65</v>
      </c>
      <c r="D33" s="78" t="s">
        <v>354</v>
      </c>
      <c r="E33" s="78" t="s">
        <v>198</v>
      </c>
      <c r="F33" s="78" t="s">
        <v>391</v>
      </c>
    </row>
    <row r="34" spans="1:6">
      <c r="A34" s="78" t="s">
        <v>392</v>
      </c>
      <c r="B34" s="80">
        <v>22000</v>
      </c>
      <c r="C34" s="81">
        <v>25000</v>
      </c>
      <c r="D34" s="81">
        <v>33000</v>
      </c>
      <c r="E34" s="81">
        <v>28000</v>
      </c>
      <c r="F34" s="81">
        <v>24000</v>
      </c>
    </row>
    <row r="35" spans="1:6">
      <c r="A35" s="78" t="s">
        <v>410</v>
      </c>
      <c r="B35" s="78" t="s">
        <v>355</v>
      </c>
      <c r="C35" s="78" t="s">
        <v>359</v>
      </c>
      <c r="D35" s="78" t="s">
        <v>361</v>
      </c>
      <c r="E35" s="78" t="s">
        <v>259</v>
      </c>
      <c r="F35" s="78" t="s">
        <v>367</v>
      </c>
    </row>
    <row r="36" spans="1:6">
      <c r="A36" s="78" t="s">
        <v>256</v>
      </c>
      <c r="B36" s="78" t="s">
        <v>356</v>
      </c>
      <c r="C36" s="78" t="s">
        <v>362</v>
      </c>
      <c r="D36" s="78" t="s">
        <v>356</v>
      </c>
      <c r="E36" s="78" t="s">
        <v>267</v>
      </c>
      <c r="F36" s="78" t="s">
        <v>368</v>
      </c>
    </row>
    <row r="38" spans="1:6" ht="15.75">
      <c r="A38" s="77" t="s">
        <v>393</v>
      </c>
      <c r="B38" s="77" t="s">
        <v>387</v>
      </c>
    </row>
    <row r="39" spans="1:6">
      <c r="A39" s="78" t="s">
        <v>352</v>
      </c>
      <c r="B39" s="79" t="str">
        <f>HLOOKUP(B38,B31:F36,2,FALSE)</f>
        <v>Lavanya</v>
      </c>
    </row>
    <row r="40" spans="1:6">
      <c r="A40" s="78" t="s">
        <v>53</v>
      </c>
      <c r="B40" s="79" t="str">
        <f>HLOOKUP(B38,B31:F36,3,FALSE)</f>
        <v>ITES</v>
      </c>
    </row>
    <row r="41" spans="1:6">
      <c r="A41" s="78" t="s">
        <v>392</v>
      </c>
      <c r="B41" s="80">
        <f>HLOOKUP(B38,B31:F36,4,FALSE)</f>
        <v>33000</v>
      </c>
    </row>
    <row r="42" spans="1:6">
      <c r="A42" s="78" t="s">
        <v>410</v>
      </c>
      <c r="B42" s="78" t="str">
        <f>HLOOKUP(B38,B31:F36,5,FALSE)</f>
        <v>Accounts Executive</v>
      </c>
    </row>
    <row r="43" spans="1:6">
      <c r="A43" s="78" t="s">
        <v>256</v>
      </c>
      <c r="B43" s="78" t="str">
        <f>HLOOKUP(B38,B31:F36,6,FALSE)</f>
        <v xml:space="preserve">Chennai </v>
      </c>
    </row>
  </sheetData>
  <mergeCells count="4">
    <mergeCell ref="A1:H1"/>
    <mergeCell ref="A16:H16"/>
    <mergeCell ref="A21:D21"/>
    <mergeCell ref="A29:F2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E052D-B056-4CCC-B29D-78BE3164A4B6}">
  <dimension ref="A1:F17"/>
  <sheetViews>
    <sheetView workbookViewId="0">
      <selection activeCell="C18" sqref="C18"/>
    </sheetView>
  </sheetViews>
  <sheetFormatPr defaultRowHeight="15"/>
  <cols>
    <col min="1" max="4" width="9.140625" style="63"/>
    <col min="5" max="5" width="13" style="63" customWidth="1"/>
    <col min="6" max="6" width="13.7109375" style="63" customWidth="1"/>
    <col min="7" max="16384" width="9.140625" style="63"/>
  </cols>
  <sheetData>
    <row r="1" spans="1:6" ht="24">
      <c r="A1" s="155" t="s">
        <v>416</v>
      </c>
      <c r="B1" s="155"/>
      <c r="C1" s="155"/>
      <c r="D1" s="155"/>
      <c r="E1" s="155"/>
      <c r="F1" s="155"/>
    </row>
    <row r="2" spans="1:6" ht="15.75">
      <c r="A2" s="91" t="s">
        <v>417</v>
      </c>
      <c r="B2" s="91" t="s">
        <v>174</v>
      </c>
      <c r="C2" s="91" t="s">
        <v>30</v>
      </c>
      <c r="D2" s="91" t="s">
        <v>418</v>
      </c>
      <c r="E2" s="91" t="s">
        <v>419</v>
      </c>
      <c r="F2" s="91" t="s">
        <v>420</v>
      </c>
    </row>
    <row r="3" spans="1:6">
      <c r="A3" s="81">
        <v>1</v>
      </c>
      <c r="B3" s="78" t="s">
        <v>421</v>
      </c>
      <c r="C3" s="92">
        <v>22</v>
      </c>
      <c r="D3" s="92">
        <v>44</v>
      </c>
      <c r="E3" s="92">
        <v>110</v>
      </c>
      <c r="F3" s="92">
        <v>220</v>
      </c>
    </row>
    <row r="4" spans="1:6">
      <c r="A4" s="81">
        <v>2</v>
      </c>
      <c r="B4" s="78" t="s">
        <v>422</v>
      </c>
      <c r="C4" s="92">
        <v>122</v>
      </c>
      <c r="D4" s="92">
        <v>244</v>
      </c>
      <c r="E4" s="92">
        <v>610</v>
      </c>
      <c r="F4" s="92">
        <v>1220</v>
      </c>
    </row>
    <row r="5" spans="1:6">
      <c r="A5" s="81">
        <v>3</v>
      </c>
      <c r="B5" s="78" t="s">
        <v>423</v>
      </c>
      <c r="C5" s="92">
        <v>50</v>
      </c>
      <c r="D5" s="92">
        <v>100</v>
      </c>
      <c r="E5" s="92">
        <v>250</v>
      </c>
      <c r="F5" s="92">
        <v>500</v>
      </c>
    </row>
    <row r="6" spans="1:6">
      <c r="A6" s="81">
        <v>4</v>
      </c>
      <c r="B6" s="78" t="s">
        <v>424</v>
      </c>
      <c r="C6" s="92">
        <v>68</v>
      </c>
      <c r="D6" s="92">
        <v>136</v>
      </c>
      <c r="E6" s="92">
        <v>340</v>
      </c>
      <c r="F6" s="92">
        <v>680</v>
      </c>
    </row>
    <row r="7" spans="1:6">
      <c r="A7" s="81">
        <v>5</v>
      </c>
      <c r="B7" s="78" t="s">
        <v>425</v>
      </c>
      <c r="C7" s="92">
        <v>18</v>
      </c>
      <c r="D7" s="92">
        <v>36</v>
      </c>
      <c r="E7" s="92">
        <v>90</v>
      </c>
      <c r="F7" s="92">
        <v>180</v>
      </c>
    </row>
    <row r="8" spans="1:6">
      <c r="A8" s="81">
        <v>6</v>
      </c>
      <c r="B8" s="78" t="s">
        <v>426</v>
      </c>
      <c r="C8" s="92">
        <v>42</v>
      </c>
      <c r="D8" s="92">
        <v>84</v>
      </c>
      <c r="E8" s="92">
        <v>210</v>
      </c>
      <c r="F8" s="92">
        <v>420</v>
      </c>
    </row>
    <row r="9" spans="1:6">
      <c r="A9" s="81">
        <v>7</v>
      </c>
      <c r="B9" s="78" t="s">
        <v>427</v>
      </c>
      <c r="C9" s="92">
        <v>190</v>
      </c>
      <c r="D9" s="92">
        <v>380</v>
      </c>
      <c r="E9" s="92">
        <v>950</v>
      </c>
      <c r="F9" s="92">
        <v>1900</v>
      </c>
    </row>
    <row r="10" spans="1:6">
      <c r="A10" s="81">
        <v>8</v>
      </c>
      <c r="B10" s="78" t="s">
        <v>428</v>
      </c>
      <c r="C10" s="92">
        <v>60</v>
      </c>
      <c r="D10" s="92">
        <v>120</v>
      </c>
      <c r="E10" s="92">
        <v>300</v>
      </c>
      <c r="F10" s="92">
        <v>600</v>
      </c>
    </row>
    <row r="11" spans="1:6">
      <c r="A11" s="81">
        <v>9</v>
      </c>
      <c r="B11" s="78" t="s">
        <v>429</v>
      </c>
      <c r="C11" s="92">
        <v>400</v>
      </c>
      <c r="D11" s="92">
        <v>800</v>
      </c>
      <c r="E11" s="92">
        <v>2000</v>
      </c>
      <c r="F11" s="92">
        <v>4000</v>
      </c>
    </row>
    <row r="12" spans="1:6">
      <c r="A12" s="81">
        <v>10</v>
      </c>
      <c r="B12" s="78" t="s">
        <v>430</v>
      </c>
      <c r="C12" s="92">
        <v>30</v>
      </c>
      <c r="D12" s="92">
        <v>60</v>
      </c>
      <c r="E12" s="92">
        <v>150</v>
      </c>
      <c r="F12" s="92">
        <v>300</v>
      </c>
    </row>
    <row r="13" spans="1:6">
      <c r="C13" s="93"/>
      <c r="D13" s="93"/>
      <c r="E13" s="93"/>
      <c r="F13" s="93"/>
    </row>
    <row r="15" spans="1:6" ht="15.75">
      <c r="A15" s="156" t="s">
        <v>416</v>
      </c>
      <c r="B15" s="157"/>
      <c r="C15" s="158"/>
    </row>
    <row r="16" spans="1:6" ht="15.75">
      <c r="A16" s="159" t="s">
        <v>431</v>
      </c>
      <c r="B16" s="160"/>
      <c r="C16" s="78" t="str">
        <f>INDEX(B3:B12,4)</f>
        <v>Rice</v>
      </c>
    </row>
    <row r="17" spans="1:3" ht="15.75">
      <c r="A17" s="159" t="s">
        <v>432</v>
      </c>
      <c r="B17" s="160"/>
      <c r="C17" s="81">
        <f>INDEX(B3:F12,4,3)</f>
        <v>136</v>
      </c>
    </row>
  </sheetData>
  <mergeCells count="4">
    <mergeCell ref="A1:F1"/>
    <mergeCell ref="A15:C15"/>
    <mergeCell ref="A16:B16"/>
    <mergeCell ref="A17:B1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CD42D-A984-4606-893F-95713A09F36A}">
  <dimension ref="A1:F18"/>
  <sheetViews>
    <sheetView workbookViewId="0">
      <selection activeCell="J21" sqref="J21"/>
    </sheetView>
  </sheetViews>
  <sheetFormatPr defaultRowHeight="15"/>
  <cols>
    <col min="1" max="1" width="9.140625" style="63"/>
    <col min="2" max="2" width="13" style="63" customWidth="1"/>
    <col min="3" max="4" width="9.140625" style="63"/>
    <col min="5" max="5" width="11.28515625" style="63" customWidth="1"/>
    <col min="6" max="6" width="13" style="63" customWidth="1"/>
    <col min="7" max="16384" width="9.140625" style="63"/>
  </cols>
  <sheetData>
    <row r="1" spans="1:6" ht="24">
      <c r="A1" s="155" t="s">
        <v>433</v>
      </c>
      <c r="B1" s="155"/>
      <c r="C1" s="155"/>
      <c r="D1" s="155"/>
      <c r="E1" s="155"/>
      <c r="F1" s="155"/>
    </row>
    <row r="2" spans="1:6" ht="15.75">
      <c r="A2" s="91" t="s">
        <v>417</v>
      </c>
      <c r="B2" s="91" t="s">
        <v>174</v>
      </c>
      <c r="C2" s="91" t="s">
        <v>30</v>
      </c>
      <c r="D2" s="91" t="s">
        <v>418</v>
      </c>
      <c r="E2" s="91" t="s">
        <v>419</v>
      </c>
      <c r="F2" s="91" t="s">
        <v>420</v>
      </c>
    </row>
    <row r="3" spans="1:6">
      <c r="A3" s="81">
        <v>1</v>
      </c>
      <c r="B3" s="78" t="s">
        <v>421</v>
      </c>
      <c r="C3" s="92">
        <v>22</v>
      </c>
      <c r="D3" s="92">
        <v>44</v>
      </c>
      <c r="E3" s="92">
        <v>110</v>
      </c>
      <c r="F3" s="92">
        <v>220</v>
      </c>
    </row>
    <row r="4" spans="1:6">
      <c r="A4" s="81">
        <v>2</v>
      </c>
      <c r="B4" s="78" t="s">
        <v>422</v>
      </c>
      <c r="C4" s="92">
        <v>122</v>
      </c>
      <c r="D4" s="92">
        <v>244</v>
      </c>
      <c r="E4" s="92">
        <v>610</v>
      </c>
      <c r="F4" s="92">
        <v>1220</v>
      </c>
    </row>
    <row r="5" spans="1:6">
      <c r="A5" s="81">
        <v>3</v>
      </c>
      <c r="B5" s="78" t="s">
        <v>423</v>
      </c>
      <c r="C5" s="92">
        <v>50</v>
      </c>
      <c r="D5" s="92">
        <v>100</v>
      </c>
      <c r="E5" s="92">
        <v>250</v>
      </c>
      <c r="F5" s="92">
        <v>500</v>
      </c>
    </row>
    <row r="6" spans="1:6">
      <c r="A6" s="81">
        <v>4</v>
      </c>
      <c r="B6" s="78" t="s">
        <v>424</v>
      </c>
      <c r="C6" s="92">
        <v>68</v>
      </c>
      <c r="D6" s="92">
        <v>136</v>
      </c>
      <c r="E6" s="92">
        <v>340</v>
      </c>
      <c r="F6" s="92">
        <v>680</v>
      </c>
    </row>
    <row r="7" spans="1:6">
      <c r="A7" s="81">
        <v>5</v>
      </c>
      <c r="B7" s="78" t="s">
        <v>425</v>
      </c>
      <c r="C7" s="92">
        <v>18</v>
      </c>
      <c r="D7" s="92">
        <v>36</v>
      </c>
      <c r="E7" s="92">
        <v>90</v>
      </c>
      <c r="F7" s="92">
        <v>180</v>
      </c>
    </row>
    <row r="8" spans="1:6">
      <c r="A8" s="81">
        <v>6</v>
      </c>
      <c r="B8" s="78" t="s">
        <v>426</v>
      </c>
      <c r="C8" s="92">
        <v>42</v>
      </c>
      <c r="D8" s="92">
        <v>84</v>
      </c>
      <c r="E8" s="92">
        <v>210</v>
      </c>
      <c r="F8" s="92">
        <v>420</v>
      </c>
    </row>
    <row r="9" spans="1:6">
      <c r="A9" s="81">
        <v>7</v>
      </c>
      <c r="B9" s="78" t="s">
        <v>427</v>
      </c>
      <c r="C9" s="92">
        <v>190</v>
      </c>
      <c r="D9" s="92">
        <v>380</v>
      </c>
      <c r="E9" s="92">
        <v>950</v>
      </c>
      <c r="F9" s="92">
        <v>1900</v>
      </c>
    </row>
    <row r="10" spans="1:6">
      <c r="A10" s="81">
        <v>8</v>
      </c>
      <c r="B10" s="78" t="s">
        <v>428</v>
      </c>
      <c r="C10" s="92">
        <v>60</v>
      </c>
      <c r="D10" s="92">
        <v>120</v>
      </c>
      <c r="E10" s="92">
        <v>300</v>
      </c>
      <c r="F10" s="92">
        <v>600</v>
      </c>
    </row>
    <row r="11" spans="1:6">
      <c r="A11" s="81">
        <v>9</v>
      </c>
      <c r="B11" s="78" t="s">
        <v>429</v>
      </c>
      <c r="C11" s="92">
        <v>400</v>
      </c>
      <c r="D11" s="92">
        <v>800</v>
      </c>
      <c r="E11" s="92">
        <v>2000</v>
      </c>
      <c r="F11" s="92">
        <v>4000</v>
      </c>
    </row>
    <row r="12" spans="1:6">
      <c r="A12" s="81">
        <v>10</v>
      </c>
      <c r="B12" s="78" t="s">
        <v>430</v>
      </c>
      <c r="C12" s="92">
        <v>30</v>
      </c>
      <c r="D12" s="92">
        <v>60</v>
      </c>
      <c r="E12" s="92">
        <v>150</v>
      </c>
      <c r="F12" s="92">
        <v>300</v>
      </c>
    </row>
    <row r="15" spans="1:6" ht="15.75">
      <c r="A15" s="156" t="s">
        <v>433</v>
      </c>
      <c r="B15" s="157"/>
      <c r="C15" s="158"/>
    </row>
    <row r="16" spans="1:6" ht="15.75">
      <c r="A16" s="159" t="s">
        <v>434</v>
      </c>
      <c r="B16" s="160"/>
      <c r="C16" s="81">
        <f>MATCH("rice",B3:B12,0)</f>
        <v>4</v>
      </c>
    </row>
    <row r="17" spans="1:3" ht="15.75">
      <c r="A17" s="159" t="s">
        <v>435</v>
      </c>
      <c r="B17" s="160"/>
      <c r="C17" s="81">
        <f>MATCH("10kg",D2:F2,0)</f>
        <v>3</v>
      </c>
    </row>
    <row r="18" spans="1:3">
      <c r="C18" s="94"/>
    </row>
  </sheetData>
  <mergeCells count="4">
    <mergeCell ref="A1:F1"/>
    <mergeCell ref="A15:C15"/>
    <mergeCell ref="A16:B16"/>
    <mergeCell ref="A17:B1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35C27-16C7-437A-AA1D-602A990F8143}">
  <dimension ref="A1:F25"/>
  <sheetViews>
    <sheetView workbookViewId="0">
      <selection activeCell="K23" sqref="K23:K24"/>
    </sheetView>
  </sheetViews>
  <sheetFormatPr defaultRowHeight="15"/>
  <cols>
    <col min="1" max="1" width="9.140625" style="63"/>
    <col min="2" max="2" width="11.85546875" style="63" customWidth="1"/>
    <col min="3" max="4" width="9.140625" style="63"/>
    <col min="5" max="5" width="12" style="63" customWidth="1"/>
    <col min="6" max="6" width="14" style="63" customWidth="1"/>
    <col min="7" max="16384" width="9.140625" style="63"/>
  </cols>
  <sheetData>
    <row r="1" spans="1:6" ht="24">
      <c r="A1" s="163" t="s">
        <v>436</v>
      </c>
      <c r="B1" s="163"/>
      <c r="C1" s="163"/>
      <c r="D1" s="163"/>
      <c r="E1" s="163"/>
      <c r="F1" s="163"/>
    </row>
    <row r="3" spans="1:6" ht="15.75">
      <c r="A3" s="91" t="s">
        <v>417</v>
      </c>
      <c r="B3" s="91" t="s">
        <v>174</v>
      </c>
      <c r="C3" s="91" t="s">
        <v>30</v>
      </c>
      <c r="D3" s="91" t="s">
        <v>418</v>
      </c>
      <c r="E3" s="91" t="s">
        <v>419</v>
      </c>
      <c r="F3" s="91" t="s">
        <v>420</v>
      </c>
    </row>
    <row r="4" spans="1:6">
      <c r="A4" s="81">
        <v>1</v>
      </c>
      <c r="B4" s="78" t="s">
        <v>421</v>
      </c>
      <c r="C4" s="92">
        <v>22</v>
      </c>
      <c r="D4" s="92">
        <v>44</v>
      </c>
      <c r="E4" s="92">
        <v>110</v>
      </c>
      <c r="F4" s="92">
        <v>220</v>
      </c>
    </row>
    <row r="5" spans="1:6">
      <c r="A5" s="81">
        <v>2</v>
      </c>
      <c r="B5" s="78" t="s">
        <v>422</v>
      </c>
      <c r="C5" s="92">
        <v>122</v>
      </c>
      <c r="D5" s="92">
        <v>244</v>
      </c>
      <c r="E5" s="92">
        <v>610</v>
      </c>
      <c r="F5" s="92">
        <v>1220</v>
      </c>
    </row>
    <row r="6" spans="1:6">
      <c r="A6" s="81">
        <v>3</v>
      </c>
      <c r="B6" s="78" t="s">
        <v>423</v>
      </c>
      <c r="C6" s="92">
        <v>50</v>
      </c>
      <c r="D6" s="92">
        <v>100</v>
      </c>
      <c r="E6" s="92">
        <v>250</v>
      </c>
      <c r="F6" s="92">
        <v>500</v>
      </c>
    </row>
    <row r="7" spans="1:6">
      <c r="A7" s="81">
        <v>4</v>
      </c>
      <c r="B7" s="78" t="s">
        <v>424</v>
      </c>
      <c r="C7" s="92">
        <v>68</v>
      </c>
      <c r="D7" s="92">
        <v>136</v>
      </c>
      <c r="E7" s="92">
        <v>340</v>
      </c>
      <c r="F7" s="92">
        <v>680</v>
      </c>
    </row>
    <row r="8" spans="1:6">
      <c r="A8" s="81">
        <v>5</v>
      </c>
      <c r="B8" s="78" t="s">
        <v>425</v>
      </c>
      <c r="C8" s="92">
        <v>18</v>
      </c>
      <c r="D8" s="92">
        <v>36</v>
      </c>
      <c r="E8" s="92">
        <v>90</v>
      </c>
      <c r="F8" s="92">
        <v>180</v>
      </c>
    </row>
    <row r="9" spans="1:6">
      <c r="A9" s="81">
        <v>6</v>
      </c>
      <c r="B9" s="78" t="s">
        <v>426</v>
      </c>
      <c r="C9" s="92">
        <v>42</v>
      </c>
      <c r="D9" s="92">
        <v>84</v>
      </c>
      <c r="E9" s="92">
        <v>210</v>
      </c>
      <c r="F9" s="92">
        <v>420</v>
      </c>
    </row>
    <row r="10" spans="1:6">
      <c r="A10" s="81">
        <v>7</v>
      </c>
      <c r="B10" s="78" t="s">
        <v>427</v>
      </c>
      <c r="C10" s="92">
        <v>190</v>
      </c>
      <c r="D10" s="92">
        <v>380</v>
      </c>
      <c r="E10" s="92">
        <v>950</v>
      </c>
      <c r="F10" s="92">
        <v>1900</v>
      </c>
    </row>
    <row r="11" spans="1:6">
      <c r="A11" s="81">
        <v>8</v>
      </c>
      <c r="B11" s="78" t="s">
        <v>428</v>
      </c>
      <c r="C11" s="92">
        <v>60</v>
      </c>
      <c r="D11" s="92">
        <v>120</v>
      </c>
      <c r="E11" s="92">
        <v>300</v>
      </c>
      <c r="F11" s="92">
        <v>600</v>
      </c>
    </row>
    <row r="12" spans="1:6">
      <c r="A12" s="81">
        <v>9</v>
      </c>
      <c r="B12" s="78" t="s">
        <v>429</v>
      </c>
      <c r="C12" s="92">
        <v>400</v>
      </c>
      <c r="D12" s="92">
        <v>800</v>
      </c>
      <c r="E12" s="92">
        <v>2000</v>
      </c>
      <c r="F12" s="92">
        <v>4000</v>
      </c>
    </row>
    <row r="13" spans="1:6">
      <c r="A13" s="81">
        <v>10</v>
      </c>
      <c r="B13" s="78" t="s">
        <v>430</v>
      </c>
      <c r="C13" s="92">
        <v>30</v>
      </c>
      <c r="D13" s="92">
        <v>60</v>
      </c>
      <c r="E13" s="92">
        <v>150</v>
      </c>
      <c r="F13" s="92">
        <v>300</v>
      </c>
    </row>
    <row r="16" spans="1:6" ht="15.75">
      <c r="A16" s="156" t="s">
        <v>436</v>
      </c>
      <c r="B16" s="157"/>
      <c r="C16" s="158"/>
    </row>
    <row r="17" spans="1:3" ht="15.75">
      <c r="A17" s="159" t="s">
        <v>437</v>
      </c>
      <c r="B17" s="160"/>
      <c r="C17" s="78" t="s">
        <v>443</v>
      </c>
    </row>
    <row r="18" spans="1:3" ht="15.75">
      <c r="A18" s="159" t="s">
        <v>438</v>
      </c>
      <c r="B18" s="160"/>
      <c r="C18" s="78" t="s">
        <v>420</v>
      </c>
    </row>
    <row r="19" spans="1:3">
      <c r="A19" s="161" t="s">
        <v>90</v>
      </c>
      <c r="B19" s="162"/>
      <c r="C19" s="81">
        <f>INDEX(D4:F13,MATCH(C17,B4:B13,0),MATCH(C18,D3:F3,0))</f>
        <v>680</v>
      </c>
    </row>
    <row r="22" spans="1:3" ht="15.75">
      <c r="A22" s="156" t="s">
        <v>439</v>
      </c>
      <c r="B22" s="157"/>
      <c r="C22" s="158"/>
    </row>
    <row r="23" spans="1:3" ht="15.75">
      <c r="A23" s="159" t="s">
        <v>440</v>
      </c>
      <c r="B23" s="160"/>
      <c r="C23" s="81">
        <f>INDEX(D4:F13,MATCH(B4,B4:B13,0),MATCH(E3,D3:F3,0))</f>
        <v>110</v>
      </c>
    </row>
    <row r="24" spans="1:3" ht="15.75">
      <c r="A24" s="159" t="s">
        <v>441</v>
      </c>
      <c r="B24" s="160"/>
      <c r="C24" s="81">
        <f>INDEX(D4:F13,MATCH(B12,B4:B13,0),MATCH(D3,D3:F3,0))</f>
        <v>800</v>
      </c>
    </row>
    <row r="25" spans="1:3">
      <c r="A25" s="161" t="s">
        <v>442</v>
      </c>
      <c r="B25" s="162"/>
      <c r="C25" s="81">
        <f>INDEX(D4:F13,MATCH(B10,B4:B13,0),MATCH(F3,D3:F3,0))</f>
        <v>1900</v>
      </c>
    </row>
  </sheetData>
  <mergeCells count="9">
    <mergeCell ref="A23:B23"/>
    <mergeCell ref="A24:B24"/>
    <mergeCell ref="A25:B25"/>
    <mergeCell ref="A1:F1"/>
    <mergeCell ref="A16:C16"/>
    <mergeCell ref="A17:B17"/>
    <mergeCell ref="A18:B18"/>
    <mergeCell ref="A19:B19"/>
    <mergeCell ref="A22:C2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414C4-CF14-4727-8B09-83FA73769EE0}">
  <dimension ref="A1:H17"/>
  <sheetViews>
    <sheetView workbookViewId="0">
      <selection activeCell="I32" sqref="I32"/>
    </sheetView>
  </sheetViews>
  <sheetFormatPr defaultRowHeight="15"/>
  <cols>
    <col min="1" max="1" width="16.28515625" customWidth="1"/>
    <col min="2" max="2" width="12.7109375" customWidth="1"/>
    <col min="3" max="3" width="20.28515625" customWidth="1"/>
    <col min="4" max="4" width="17.7109375" customWidth="1"/>
    <col min="5" max="5" width="16.85546875" customWidth="1"/>
    <col min="6" max="6" width="15.28515625" customWidth="1"/>
    <col min="7" max="7" width="18.28515625" customWidth="1"/>
    <col min="8" max="8" width="21.7109375" customWidth="1"/>
  </cols>
  <sheetData>
    <row r="1" spans="1:8">
      <c r="A1" s="164" t="s">
        <v>278</v>
      </c>
      <c r="B1" s="164"/>
      <c r="C1" s="164"/>
      <c r="D1" s="164"/>
      <c r="E1" s="164"/>
      <c r="F1" s="164"/>
      <c r="G1" s="164"/>
      <c r="H1" s="164"/>
    </row>
    <row r="2" spans="1:8">
      <c r="A2" s="53" t="s">
        <v>38</v>
      </c>
      <c r="B2" s="53" t="s">
        <v>255</v>
      </c>
      <c r="C2" s="53" t="s">
        <v>53</v>
      </c>
      <c r="D2" s="53" t="s">
        <v>256</v>
      </c>
      <c r="E2" s="53" t="s">
        <v>174</v>
      </c>
      <c r="F2" s="53" t="s">
        <v>257</v>
      </c>
      <c r="G2" s="53" t="s">
        <v>269</v>
      </c>
      <c r="H2" s="53" t="s">
        <v>270</v>
      </c>
    </row>
    <row r="3" spans="1:8">
      <c r="A3" s="46">
        <v>46027</v>
      </c>
      <c r="B3" s="45" t="s">
        <v>258</v>
      </c>
      <c r="C3" s="45" t="s">
        <v>259</v>
      </c>
      <c r="D3" s="45" t="s">
        <v>260</v>
      </c>
      <c r="E3" s="45" t="s">
        <v>180</v>
      </c>
      <c r="F3" s="47">
        <v>3</v>
      </c>
      <c r="G3" s="48">
        <v>45000</v>
      </c>
      <c r="H3" s="48">
        <v>135000</v>
      </c>
    </row>
    <row r="4" spans="1:8">
      <c r="A4" s="46">
        <v>46030</v>
      </c>
      <c r="B4" s="45" t="s">
        <v>261</v>
      </c>
      <c r="C4" s="45" t="s">
        <v>66</v>
      </c>
      <c r="D4" s="45" t="s">
        <v>262</v>
      </c>
      <c r="E4" s="45" t="s">
        <v>263</v>
      </c>
      <c r="F4" s="47">
        <v>5</v>
      </c>
      <c r="G4" s="48">
        <v>12000</v>
      </c>
      <c r="H4" s="48">
        <v>60000</v>
      </c>
    </row>
    <row r="5" spans="1:8">
      <c r="A5" s="46">
        <v>46034</v>
      </c>
      <c r="B5" s="45" t="s">
        <v>103</v>
      </c>
      <c r="C5" s="45" t="s">
        <v>259</v>
      </c>
      <c r="D5" s="45" t="s">
        <v>260</v>
      </c>
      <c r="E5" s="45" t="s">
        <v>264</v>
      </c>
      <c r="F5" s="47">
        <v>10</v>
      </c>
      <c r="G5" s="48">
        <v>1500</v>
      </c>
      <c r="H5" s="48">
        <v>15000</v>
      </c>
    </row>
    <row r="6" spans="1:8">
      <c r="A6" s="46">
        <v>46037</v>
      </c>
      <c r="B6" s="45" t="s">
        <v>265</v>
      </c>
      <c r="C6" s="45" t="s">
        <v>266</v>
      </c>
      <c r="D6" s="45" t="s">
        <v>267</v>
      </c>
      <c r="E6" s="45" t="s">
        <v>180</v>
      </c>
      <c r="F6" s="47">
        <v>2</v>
      </c>
      <c r="G6" s="48">
        <v>45000</v>
      </c>
      <c r="H6" s="48">
        <v>90000</v>
      </c>
    </row>
    <row r="7" spans="1:8">
      <c r="A7" s="46">
        <v>46042</v>
      </c>
      <c r="B7" s="45" t="s">
        <v>63</v>
      </c>
      <c r="C7" s="45" t="s">
        <v>66</v>
      </c>
      <c r="D7" s="45" t="s">
        <v>260</v>
      </c>
      <c r="E7" s="45" t="s">
        <v>268</v>
      </c>
      <c r="F7" s="47">
        <v>15</v>
      </c>
      <c r="G7" s="48">
        <v>800</v>
      </c>
      <c r="H7" s="48">
        <v>12000</v>
      </c>
    </row>
    <row r="8" spans="1:8">
      <c r="A8" s="46">
        <v>46056</v>
      </c>
      <c r="B8" s="45" t="s">
        <v>258</v>
      </c>
      <c r="C8" s="45" t="s">
        <v>259</v>
      </c>
      <c r="D8" s="45" t="s">
        <v>262</v>
      </c>
      <c r="E8" s="45" t="s">
        <v>263</v>
      </c>
      <c r="F8" s="47">
        <v>4</v>
      </c>
      <c r="G8" s="48">
        <v>12000</v>
      </c>
      <c r="H8" s="48">
        <v>48000</v>
      </c>
    </row>
    <row r="9" spans="1:8">
      <c r="A9" s="46">
        <v>46060</v>
      </c>
      <c r="B9" s="45" t="s">
        <v>261</v>
      </c>
      <c r="C9" s="45" t="s">
        <v>66</v>
      </c>
      <c r="D9" s="45" t="s">
        <v>260</v>
      </c>
      <c r="E9" s="45" t="s">
        <v>180</v>
      </c>
      <c r="F9" s="47">
        <v>2</v>
      </c>
      <c r="G9" s="48">
        <v>45000</v>
      </c>
      <c r="H9" s="48">
        <v>90000</v>
      </c>
    </row>
    <row r="10" spans="1:8">
      <c r="A10" s="46">
        <v>46064</v>
      </c>
      <c r="B10" s="45" t="s">
        <v>103</v>
      </c>
      <c r="C10" s="45" t="s">
        <v>259</v>
      </c>
      <c r="D10" s="45" t="s">
        <v>267</v>
      </c>
      <c r="E10" s="45" t="s">
        <v>268</v>
      </c>
      <c r="F10" s="47">
        <v>20</v>
      </c>
      <c r="G10" s="48">
        <v>800</v>
      </c>
      <c r="H10" s="48">
        <v>16000</v>
      </c>
    </row>
    <row r="11" spans="1:8">
      <c r="A11" s="46">
        <v>46071</v>
      </c>
      <c r="B11" s="45" t="s">
        <v>265</v>
      </c>
      <c r="C11" s="45" t="s">
        <v>266</v>
      </c>
      <c r="D11" s="45" t="s">
        <v>262</v>
      </c>
      <c r="E11" s="45" t="s">
        <v>264</v>
      </c>
      <c r="F11" s="47">
        <v>12</v>
      </c>
      <c r="G11" s="48">
        <v>1500</v>
      </c>
      <c r="H11" s="48">
        <v>18000</v>
      </c>
    </row>
    <row r="12" spans="1:8">
      <c r="A12" s="46">
        <v>46077</v>
      </c>
      <c r="B12" s="45" t="s">
        <v>63</v>
      </c>
      <c r="C12" s="45" t="s">
        <v>66</v>
      </c>
      <c r="D12" s="45" t="s">
        <v>267</v>
      </c>
      <c r="E12" s="45" t="s">
        <v>263</v>
      </c>
      <c r="F12" s="47">
        <v>6</v>
      </c>
      <c r="G12" s="48">
        <v>12000</v>
      </c>
      <c r="H12" s="48">
        <v>72000</v>
      </c>
    </row>
    <row r="13" spans="1:8">
      <c r="A13" s="46">
        <v>46085</v>
      </c>
      <c r="B13" s="45" t="s">
        <v>258</v>
      </c>
      <c r="C13" s="45" t="s">
        <v>259</v>
      </c>
      <c r="D13" s="45" t="s">
        <v>260</v>
      </c>
      <c r="E13" s="45" t="s">
        <v>180</v>
      </c>
      <c r="F13" s="47">
        <v>1</v>
      </c>
      <c r="G13" s="48">
        <v>45000</v>
      </c>
      <c r="H13" s="48">
        <v>45000</v>
      </c>
    </row>
    <row r="14" spans="1:8">
      <c r="A14" s="46">
        <v>46090</v>
      </c>
      <c r="B14" s="45" t="s">
        <v>261</v>
      </c>
      <c r="C14" s="45" t="s">
        <v>66</v>
      </c>
      <c r="D14" s="45" t="s">
        <v>262</v>
      </c>
      <c r="E14" s="45" t="s">
        <v>268</v>
      </c>
      <c r="F14" s="47">
        <v>25</v>
      </c>
      <c r="G14" s="48">
        <v>800</v>
      </c>
      <c r="H14" s="48">
        <v>20000</v>
      </c>
    </row>
    <row r="15" spans="1:8">
      <c r="A15" s="46">
        <v>46094</v>
      </c>
      <c r="B15" s="45" t="s">
        <v>103</v>
      </c>
      <c r="C15" s="45" t="s">
        <v>259</v>
      </c>
      <c r="D15" s="45" t="s">
        <v>260</v>
      </c>
      <c r="E15" s="45" t="s">
        <v>263</v>
      </c>
      <c r="F15" s="47">
        <v>3</v>
      </c>
      <c r="G15" s="48">
        <v>12000</v>
      </c>
      <c r="H15" s="48">
        <v>36000</v>
      </c>
    </row>
    <row r="16" spans="1:8">
      <c r="A16" s="46">
        <v>46098</v>
      </c>
      <c r="B16" s="45" t="s">
        <v>265</v>
      </c>
      <c r="C16" s="45" t="s">
        <v>266</v>
      </c>
      <c r="D16" s="45" t="s">
        <v>267</v>
      </c>
      <c r="E16" s="45" t="s">
        <v>180</v>
      </c>
      <c r="F16" s="47">
        <v>3</v>
      </c>
      <c r="G16" s="48">
        <v>45000</v>
      </c>
      <c r="H16" s="48">
        <v>135000</v>
      </c>
    </row>
    <row r="17" spans="1:8">
      <c r="A17" s="46">
        <v>46103</v>
      </c>
      <c r="B17" s="45" t="s">
        <v>63</v>
      </c>
      <c r="C17" s="45" t="s">
        <v>66</v>
      </c>
      <c r="D17" s="45" t="s">
        <v>260</v>
      </c>
      <c r="E17" s="45" t="s">
        <v>264</v>
      </c>
      <c r="F17" s="47">
        <v>15</v>
      </c>
      <c r="G17" s="48">
        <v>1500</v>
      </c>
      <c r="H17" s="48">
        <v>22500</v>
      </c>
    </row>
  </sheetData>
  <autoFilter ref="A2:H17" xr:uid="{717414C4-CF14-4727-8B09-83FA73769EE0}"/>
  <mergeCells count="1">
    <mergeCell ref="A1:H1"/>
  </mergeCells>
  <dataValidations count="1">
    <dataValidation type="list" allowBlank="1" showInputMessage="1" showErrorMessage="1" sqref="K7 A2:H17" xr:uid="{8EC4C934-9C4D-4717-98C3-E4722FC521C3}">
      <formula1>$C$3:$C$17</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8F8A7-E939-4898-8EF5-2FB622F9975C}">
  <dimension ref="A1:O34"/>
  <sheetViews>
    <sheetView workbookViewId="0">
      <selection activeCell="J32" sqref="J32"/>
    </sheetView>
  </sheetViews>
  <sheetFormatPr defaultRowHeight="15"/>
  <cols>
    <col min="1" max="1" width="16.140625" customWidth="1"/>
    <col min="2" max="2" width="21.5703125" customWidth="1"/>
    <col min="3" max="3" width="23.28515625" customWidth="1"/>
    <col min="4" max="4" width="17.85546875" customWidth="1"/>
    <col min="5" max="5" width="7" bestFit="1" customWidth="1"/>
    <col min="6" max="6" width="22" bestFit="1" customWidth="1"/>
    <col min="7" max="7" width="9.140625" bestFit="1" customWidth="1"/>
    <col min="9" max="9" width="7.5703125" bestFit="1" customWidth="1"/>
    <col min="10" max="10" width="16.85546875" bestFit="1" customWidth="1"/>
    <col min="11" max="11" width="7.140625" bestFit="1" customWidth="1"/>
    <col min="12" max="12" width="8" bestFit="1" customWidth="1"/>
    <col min="13" max="13" width="7" bestFit="1" customWidth="1"/>
    <col min="14" max="14" width="23.28515625" bestFit="1" customWidth="1"/>
    <col min="15" max="15" width="27" bestFit="1" customWidth="1"/>
    <col min="16" max="16" width="22" bestFit="1" customWidth="1"/>
  </cols>
  <sheetData>
    <row r="1" spans="1:15">
      <c r="A1" s="166" t="s">
        <v>276</v>
      </c>
      <c r="B1" s="166"/>
      <c r="C1" s="166"/>
      <c r="D1" s="166"/>
    </row>
    <row r="3" spans="1:15">
      <c r="A3" s="49" t="s">
        <v>271</v>
      </c>
      <c r="B3" s="1" t="s">
        <v>273</v>
      </c>
      <c r="C3" s="1" t="s">
        <v>274</v>
      </c>
      <c r="D3" s="1" t="s">
        <v>275</v>
      </c>
    </row>
    <row r="4" spans="1:15">
      <c r="A4" s="50">
        <v>46027</v>
      </c>
      <c r="B4" s="51">
        <v>45000</v>
      </c>
      <c r="C4" s="51">
        <v>135000</v>
      </c>
      <c r="D4" s="1">
        <v>3</v>
      </c>
    </row>
    <row r="5" spans="1:15">
      <c r="A5" s="52" t="s">
        <v>258</v>
      </c>
      <c r="B5" s="51">
        <v>45000</v>
      </c>
      <c r="C5" s="51">
        <v>135000</v>
      </c>
      <c r="D5" s="1">
        <v>3</v>
      </c>
    </row>
    <row r="6" spans="1:15">
      <c r="A6" s="50">
        <v>46030</v>
      </c>
      <c r="B6" s="51">
        <v>12000</v>
      </c>
      <c r="C6" s="51">
        <v>60000</v>
      </c>
      <c r="D6" s="1">
        <v>5</v>
      </c>
      <c r="F6" s="165" t="s">
        <v>277</v>
      </c>
      <c r="G6" s="165"/>
      <c r="H6" s="165"/>
      <c r="I6" s="165"/>
      <c r="J6" s="165"/>
      <c r="K6" s="165"/>
      <c r="L6" s="165"/>
      <c r="M6" s="165"/>
      <c r="N6" s="165"/>
      <c r="O6" s="165"/>
    </row>
    <row r="7" spans="1:15">
      <c r="A7" s="52" t="s">
        <v>261</v>
      </c>
      <c r="B7" s="51">
        <v>12000</v>
      </c>
      <c r="C7" s="51">
        <v>60000</v>
      </c>
      <c r="D7" s="1">
        <v>5</v>
      </c>
    </row>
    <row r="8" spans="1:15">
      <c r="A8" s="50">
        <v>46034</v>
      </c>
      <c r="B8" s="51">
        <v>1500</v>
      </c>
      <c r="C8" s="51">
        <v>15000</v>
      </c>
      <c r="D8" s="1">
        <v>10</v>
      </c>
    </row>
    <row r="9" spans="1:15">
      <c r="A9" s="52" t="s">
        <v>103</v>
      </c>
      <c r="B9" s="51">
        <v>1500</v>
      </c>
      <c r="C9" s="51">
        <v>15000</v>
      </c>
      <c r="D9" s="1">
        <v>10</v>
      </c>
    </row>
    <row r="10" spans="1:15">
      <c r="A10" s="50">
        <v>46037</v>
      </c>
      <c r="B10" s="51">
        <v>45000</v>
      </c>
      <c r="C10" s="51">
        <v>90000</v>
      </c>
      <c r="D10" s="1">
        <v>2</v>
      </c>
    </row>
    <row r="11" spans="1:15">
      <c r="A11" s="52" t="s">
        <v>265</v>
      </c>
      <c r="B11" s="51">
        <v>45000</v>
      </c>
      <c r="C11" s="51">
        <v>90000</v>
      </c>
      <c r="D11" s="1">
        <v>2</v>
      </c>
    </row>
    <row r="12" spans="1:15">
      <c r="A12" s="50">
        <v>46042</v>
      </c>
      <c r="B12" s="51">
        <v>800</v>
      </c>
      <c r="C12" s="51">
        <v>12000</v>
      </c>
      <c r="D12" s="1">
        <v>15</v>
      </c>
    </row>
    <row r="13" spans="1:15">
      <c r="A13" s="52" t="s">
        <v>63</v>
      </c>
      <c r="B13" s="51">
        <v>800</v>
      </c>
      <c r="C13" s="51">
        <v>12000</v>
      </c>
      <c r="D13" s="1">
        <v>15</v>
      </c>
    </row>
    <row r="14" spans="1:15">
      <c r="A14" s="50">
        <v>46056</v>
      </c>
      <c r="B14" s="51">
        <v>12000</v>
      </c>
      <c r="C14" s="51">
        <v>48000</v>
      </c>
      <c r="D14" s="1">
        <v>4</v>
      </c>
    </row>
    <row r="15" spans="1:15">
      <c r="A15" s="52" t="s">
        <v>258</v>
      </c>
      <c r="B15" s="51">
        <v>12000</v>
      </c>
      <c r="C15" s="51">
        <v>48000</v>
      </c>
      <c r="D15" s="1">
        <v>4</v>
      </c>
    </row>
    <row r="16" spans="1:15">
      <c r="A16" s="50">
        <v>46060</v>
      </c>
      <c r="B16" s="51">
        <v>45000</v>
      </c>
      <c r="C16" s="51">
        <v>90000</v>
      </c>
      <c r="D16" s="1">
        <v>2</v>
      </c>
    </row>
    <row r="17" spans="1:4">
      <c r="A17" s="52" t="s">
        <v>261</v>
      </c>
      <c r="B17" s="51">
        <v>45000</v>
      </c>
      <c r="C17" s="51">
        <v>90000</v>
      </c>
      <c r="D17" s="1">
        <v>2</v>
      </c>
    </row>
    <row r="18" spans="1:4">
      <c r="A18" s="50">
        <v>46064</v>
      </c>
      <c r="B18" s="51">
        <v>800</v>
      </c>
      <c r="C18" s="51">
        <v>16000</v>
      </c>
      <c r="D18" s="1">
        <v>20</v>
      </c>
    </row>
    <row r="19" spans="1:4">
      <c r="A19" s="52" t="s">
        <v>103</v>
      </c>
      <c r="B19" s="51">
        <v>800</v>
      </c>
      <c r="C19" s="51">
        <v>16000</v>
      </c>
      <c r="D19" s="1">
        <v>20</v>
      </c>
    </row>
    <row r="20" spans="1:4">
      <c r="A20" s="50">
        <v>46071</v>
      </c>
      <c r="B20" s="51">
        <v>1500</v>
      </c>
      <c r="C20" s="51">
        <v>18000</v>
      </c>
      <c r="D20" s="1">
        <v>12</v>
      </c>
    </row>
    <row r="21" spans="1:4">
      <c r="A21" s="52" t="s">
        <v>265</v>
      </c>
      <c r="B21" s="51">
        <v>1500</v>
      </c>
      <c r="C21" s="51">
        <v>18000</v>
      </c>
      <c r="D21" s="1">
        <v>12</v>
      </c>
    </row>
    <row r="22" spans="1:4">
      <c r="A22" s="50">
        <v>46077</v>
      </c>
      <c r="B22" s="51">
        <v>12000</v>
      </c>
      <c r="C22" s="51">
        <v>72000</v>
      </c>
      <c r="D22" s="1">
        <v>6</v>
      </c>
    </row>
    <row r="23" spans="1:4">
      <c r="A23" s="52" t="s">
        <v>63</v>
      </c>
      <c r="B23" s="51">
        <v>12000</v>
      </c>
      <c r="C23" s="51">
        <v>72000</v>
      </c>
      <c r="D23" s="1">
        <v>6</v>
      </c>
    </row>
    <row r="24" spans="1:4">
      <c r="A24" s="50">
        <v>46085</v>
      </c>
      <c r="B24" s="51">
        <v>45000</v>
      </c>
      <c r="C24" s="51">
        <v>45000</v>
      </c>
      <c r="D24" s="1">
        <v>1</v>
      </c>
    </row>
    <row r="25" spans="1:4">
      <c r="A25" s="52" t="s">
        <v>258</v>
      </c>
      <c r="B25" s="51">
        <v>45000</v>
      </c>
      <c r="C25" s="51">
        <v>45000</v>
      </c>
      <c r="D25" s="1">
        <v>1</v>
      </c>
    </row>
    <row r="26" spans="1:4">
      <c r="A26" s="50">
        <v>46090</v>
      </c>
      <c r="B26" s="51">
        <v>800</v>
      </c>
      <c r="C26" s="51">
        <v>20000</v>
      </c>
      <c r="D26" s="1">
        <v>25</v>
      </c>
    </row>
    <row r="27" spans="1:4">
      <c r="A27" s="52" t="s">
        <v>261</v>
      </c>
      <c r="B27" s="51">
        <v>800</v>
      </c>
      <c r="C27" s="51">
        <v>20000</v>
      </c>
      <c r="D27" s="1">
        <v>25</v>
      </c>
    </row>
    <row r="28" spans="1:4">
      <c r="A28" s="50">
        <v>46094</v>
      </c>
      <c r="B28" s="51">
        <v>12000</v>
      </c>
      <c r="C28" s="51">
        <v>36000</v>
      </c>
      <c r="D28" s="1">
        <v>3</v>
      </c>
    </row>
    <row r="29" spans="1:4">
      <c r="A29" s="52" t="s">
        <v>103</v>
      </c>
      <c r="B29" s="51">
        <v>12000</v>
      </c>
      <c r="C29" s="51">
        <v>36000</v>
      </c>
      <c r="D29" s="1">
        <v>3</v>
      </c>
    </row>
    <row r="30" spans="1:4">
      <c r="A30" s="50">
        <v>46098</v>
      </c>
      <c r="B30" s="51">
        <v>45000</v>
      </c>
      <c r="C30" s="51">
        <v>135000</v>
      </c>
      <c r="D30" s="1">
        <v>3</v>
      </c>
    </row>
    <row r="31" spans="1:4">
      <c r="A31" s="52" t="s">
        <v>265</v>
      </c>
      <c r="B31" s="51">
        <v>45000</v>
      </c>
      <c r="C31" s="51">
        <v>135000</v>
      </c>
      <c r="D31" s="1">
        <v>3</v>
      </c>
    </row>
    <row r="32" spans="1:4">
      <c r="A32" s="50">
        <v>46103</v>
      </c>
      <c r="B32" s="51">
        <v>1500</v>
      </c>
      <c r="C32" s="51">
        <v>22500</v>
      </c>
      <c r="D32" s="1">
        <v>15</v>
      </c>
    </row>
    <row r="33" spans="1:4">
      <c r="A33" s="52" t="s">
        <v>63</v>
      </c>
      <c r="B33" s="51">
        <v>1500</v>
      </c>
      <c r="C33" s="51">
        <v>22500</v>
      </c>
      <c r="D33" s="1">
        <v>15</v>
      </c>
    </row>
    <row r="34" spans="1:4">
      <c r="A34" s="50" t="s">
        <v>272</v>
      </c>
      <c r="B34" s="51">
        <v>279900</v>
      </c>
      <c r="C34" s="51">
        <v>814500</v>
      </c>
      <c r="D34" s="1">
        <v>126</v>
      </c>
    </row>
  </sheetData>
  <mergeCells count="2">
    <mergeCell ref="F6:O6"/>
    <mergeCell ref="A1:D1"/>
  </mergeCells>
  <pageMargins left="0.7" right="0.7" top="0.75" bottom="0.75" header="0.3" footer="0.3"/>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0FD4D-47F0-4F34-8207-57EB7FC19140}">
  <dimension ref="A1:H17"/>
  <sheetViews>
    <sheetView workbookViewId="0">
      <selection activeCell="D32" sqref="D32"/>
    </sheetView>
  </sheetViews>
  <sheetFormatPr defaultRowHeight="15"/>
  <cols>
    <col min="1" max="1" width="17.140625" customWidth="1"/>
    <col min="2" max="2" width="19.7109375" customWidth="1"/>
    <col min="3" max="3" width="19.85546875" customWidth="1"/>
    <col min="4" max="4" width="19" customWidth="1"/>
    <col min="5" max="5" width="12.85546875" customWidth="1"/>
    <col min="6" max="6" width="13.28515625" customWidth="1"/>
    <col min="7" max="7" width="12.28515625" customWidth="1"/>
    <col min="8" max="8" width="17.7109375" customWidth="1"/>
  </cols>
  <sheetData>
    <row r="1" spans="1:8">
      <c r="A1" s="164" t="s">
        <v>278</v>
      </c>
      <c r="B1" s="164"/>
      <c r="C1" s="164"/>
      <c r="D1" s="164"/>
      <c r="E1" s="164"/>
      <c r="F1" s="164"/>
      <c r="G1" s="164"/>
      <c r="H1" s="164"/>
    </row>
    <row r="2" spans="1:8">
      <c r="A2" s="53" t="s">
        <v>38</v>
      </c>
      <c r="B2" s="53" t="s">
        <v>255</v>
      </c>
      <c r="C2" s="53" t="s">
        <v>53</v>
      </c>
      <c r="D2" s="53" t="s">
        <v>256</v>
      </c>
      <c r="E2" s="53" t="s">
        <v>174</v>
      </c>
      <c r="F2" s="53" t="s">
        <v>257</v>
      </c>
      <c r="G2" s="53" t="s">
        <v>269</v>
      </c>
      <c r="H2" s="53" t="s">
        <v>270</v>
      </c>
    </row>
    <row r="3" spans="1:8">
      <c r="A3" s="46">
        <v>46027</v>
      </c>
      <c r="B3" s="45" t="s">
        <v>258</v>
      </c>
      <c r="C3" s="45" t="s">
        <v>259</v>
      </c>
      <c r="D3" s="45" t="s">
        <v>260</v>
      </c>
      <c r="E3" s="45" t="s">
        <v>180</v>
      </c>
      <c r="F3" s="47">
        <v>3</v>
      </c>
      <c r="G3" s="48">
        <v>45000</v>
      </c>
      <c r="H3" s="48">
        <v>135000</v>
      </c>
    </row>
    <row r="4" spans="1:8">
      <c r="A4" s="46">
        <v>46030</v>
      </c>
      <c r="B4" s="45" t="s">
        <v>261</v>
      </c>
      <c r="C4" s="45" t="s">
        <v>66</v>
      </c>
      <c r="D4" s="45" t="s">
        <v>262</v>
      </c>
      <c r="E4" s="45" t="s">
        <v>263</v>
      </c>
      <c r="F4" s="47">
        <v>5</v>
      </c>
      <c r="G4" s="48">
        <v>12000</v>
      </c>
      <c r="H4" s="48">
        <v>60000</v>
      </c>
    </row>
    <row r="5" spans="1:8">
      <c r="A5" s="46">
        <v>46034</v>
      </c>
      <c r="B5" s="45" t="s">
        <v>103</v>
      </c>
      <c r="C5" s="45" t="s">
        <v>259</v>
      </c>
      <c r="D5" s="45" t="s">
        <v>260</v>
      </c>
      <c r="E5" s="45" t="s">
        <v>264</v>
      </c>
      <c r="F5" s="47">
        <v>10</v>
      </c>
      <c r="G5" s="48">
        <v>1500</v>
      </c>
      <c r="H5" s="48">
        <v>15000</v>
      </c>
    </row>
    <row r="6" spans="1:8">
      <c r="A6" s="46">
        <v>46037</v>
      </c>
      <c r="B6" s="45" t="s">
        <v>265</v>
      </c>
      <c r="C6" s="45" t="s">
        <v>266</v>
      </c>
      <c r="D6" s="45" t="s">
        <v>267</v>
      </c>
      <c r="E6" s="45" t="s">
        <v>180</v>
      </c>
      <c r="F6" s="47">
        <v>2</v>
      </c>
      <c r="G6" s="48">
        <v>45000</v>
      </c>
      <c r="H6" s="48">
        <v>90000</v>
      </c>
    </row>
    <row r="7" spans="1:8">
      <c r="A7" s="46">
        <v>46042</v>
      </c>
      <c r="B7" s="45" t="s">
        <v>63</v>
      </c>
      <c r="C7" s="45" t="s">
        <v>66</v>
      </c>
      <c r="D7" s="45" t="s">
        <v>260</v>
      </c>
      <c r="E7" s="45" t="s">
        <v>268</v>
      </c>
      <c r="F7" s="47">
        <v>15</v>
      </c>
      <c r="G7" s="48">
        <v>800</v>
      </c>
      <c r="H7" s="48">
        <v>12000</v>
      </c>
    </row>
    <row r="8" spans="1:8">
      <c r="A8" s="46">
        <v>46056</v>
      </c>
      <c r="B8" s="45" t="s">
        <v>258</v>
      </c>
      <c r="C8" s="45" t="s">
        <v>259</v>
      </c>
      <c r="D8" s="45" t="s">
        <v>262</v>
      </c>
      <c r="E8" s="45" t="s">
        <v>263</v>
      </c>
      <c r="F8" s="47">
        <v>4</v>
      </c>
      <c r="G8" s="48">
        <v>12000</v>
      </c>
      <c r="H8" s="48">
        <v>48000</v>
      </c>
    </row>
    <row r="9" spans="1:8">
      <c r="A9" s="46">
        <v>46060</v>
      </c>
      <c r="B9" s="45" t="s">
        <v>261</v>
      </c>
      <c r="C9" s="45" t="s">
        <v>66</v>
      </c>
      <c r="D9" s="45" t="s">
        <v>260</v>
      </c>
      <c r="E9" s="45" t="s">
        <v>180</v>
      </c>
      <c r="F9" s="47">
        <v>2</v>
      </c>
      <c r="G9" s="48">
        <v>45000</v>
      </c>
      <c r="H9" s="48">
        <v>90000</v>
      </c>
    </row>
    <row r="10" spans="1:8">
      <c r="A10" s="46">
        <v>46064</v>
      </c>
      <c r="B10" s="45" t="s">
        <v>103</v>
      </c>
      <c r="C10" s="45" t="s">
        <v>259</v>
      </c>
      <c r="D10" s="45" t="s">
        <v>267</v>
      </c>
      <c r="E10" s="45" t="s">
        <v>268</v>
      </c>
      <c r="F10" s="47">
        <v>20</v>
      </c>
      <c r="G10" s="48">
        <v>800</v>
      </c>
      <c r="H10" s="48">
        <v>16000</v>
      </c>
    </row>
    <row r="11" spans="1:8">
      <c r="A11" s="46">
        <v>46071</v>
      </c>
      <c r="B11" s="45" t="s">
        <v>265</v>
      </c>
      <c r="C11" s="45" t="s">
        <v>266</v>
      </c>
      <c r="D11" s="45" t="s">
        <v>262</v>
      </c>
      <c r="E11" s="45" t="s">
        <v>264</v>
      </c>
      <c r="F11" s="47">
        <v>12</v>
      </c>
      <c r="G11" s="48">
        <v>1500</v>
      </c>
      <c r="H11" s="48">
        <v>18000</v>
      </c>
    </row>
    <row r="12" spans="1:8">
      <c r="A12" s="46">
        <v>46077</v>
      </c>
      <c r="B12" s="45" t="s">
        <v>63</v>
      </c>
      <c r="C12" s="45" t="s">
        <v>66</v>
      </c>
      <c r="D12" s="45" t="s">
        <v>267</v>
      </c>
      <c r="E12" s="45" t="s">
        <v>263</v>
      </c>
      <c r="F12" s="47">
        <v>6</v>
      </c>
      <c r="G12" s="48">
        <v>12000</v>
      </c>
      <c r="H12" s="48">
        <v>72000</v>
      </c>
    </row>
    <row r="13" spans="1:8">
      <c r="A13" s="46">
        <v>46085</v>
      </c>
      <c r="B13" s="45" t="s">
        <v>258</v>
      </c>
      <c r="C13" s="45" t="s">
        <v>259</v>
      </c>
      <c r="D13" s="45" t="s">
        <v>260</v>
      </c>
      <c r="E13" s="45" t="s">
        <v>180</v>
      </c>
      <c r="F13" s="47">
        <v>1</v>
      </c>
      <c r="G13" s="48">
        <v>45000</v>
      </c>
      <c r="H13" s="48">
        <v>45000</v>
      </c>
    </row>
    <row r="14" spans="1:8">
      <c r="A14" s="46">
        <v>46090</v>
      </c>
      <c r="B14" s="45" t="s">
        <v>261</v>
      </c>
      <c r="C14" s="45" t="s">
        <v>66</v>
      </c>
      <c r="D14" s="45" t="s">
        <v>262</v>
      </c>
      <c r="E14" s="45" t="s">
        <v>268</v>
      </c>
      <c r="F14" s="47">
        <v>25</v>
      </c>
      <c r="G14" s="48">
        <v>800</v>
      </c>
      <c r="H14" s="48">
        <v>20000</v>
      </c>
    </row>
    <row r="15" spans="1:8">
      <c r="A15" s="46">
        <v>46094</v>
      </c>
      <c r="B15" s="45" t="s">
        <v>103</v>
      </c>
      <c r="C15" s="45" t="s">
        <v>259</v>
      </c>
      <c r="D15" s="45" t="s">
        <v>260</v>
      </c>
      <c r="E15" s="45" t="s">
        <v>263</v>
      </c>
      <c r="F15" s="47">
        <v>3</v>
      </c>
      <c r="G15" s="48">
        <v>12000</v>
      </c>
      <c r="H15" s="48">
        <v>36000</v>
      </c>
    </row>
    <row r="16" spans="1:8">
      <c r="A16" s="46">
        <v>46098</v>
      </c>
      <c r="B16" s="45" t="s">
        <v>265</v>
      </c>
      <c r="C16" s="45" t="s">
        <v>266</v>
      </c>
      <c r="D16" s="45" t="s">
        <v>267</v>
      </c>
      <c r="E16" s="45" t="s">
        <v>180</v>
      </c>
      <c r="F16" s="47">
        <v>3</v>
      </c>
      <c r="G16" s="48">
        <v>45000</v>
      </c>
      <c r="H16" s="48">
        <v>135000</v>
      </c>
    </row>
    <row r="17" spans="1:8">
      <c r="A17" s="46">
        <v>46103</v>
      </c>
      <c r="B17" s="45" t="s">
        <v>63</v>
      </c>
      <c r="C17" s="45" t="s">
        <v>66</v>
      </c>
      <c r="D17" s="45" t="s">
        <v>260</v>
      </c>
      <c r="E17" s="45" t="s">
        <v>264</v>
      </c>
      <c r="F17" s="47">
        <v>15</v>
      </c>
      <c r="G17" s="48">
        <v>1500</v>
      </c>
      <c r="H17" s="48">
        <v>22500</v>
      </c>
    </row>
  </sheetData>
  <mergeCells count="1">
    <mergeCell ref="A1:H1"/>
  </mergeCells>
  <dataValidations count="1">
    <dataValidation type="list" allowBlank="1" showInputMessage="1" showErrorMessage="1" sqref="A2:B17 D2:H17 C2 C4:C17" xr:uid="{88AE3AC6-D1B1-44A5-B793-A8DD7D3CC0A2}">
      <formula1>$C$3:$C$17</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A3F9B-EA26-4BDF-AAB5-F13178AC4B64}">
  <dimension ref="A3:B7"/>
  <sheetViews>
    <sheetView workbookViewId="0">
      <selection activeCell="A3" sqref="A3"/>
    </sheetView>
  </sheetViews>
  <sheetFormatPr defaultRowHeight="15"/>
  <cols>
    <col min="1" max="1" width="17" bestFit="1" customWidth="1"/>
    <col min="2" max="2" width="22" bestFit="1" customWidth="1"/>
    <col min="3" max="3" width="9.140625" bestFit="1" customWidth="1"/>
    <col min="4" max="4" width="17.42578125" bestFit="1" customWidth="1"/>
    <col min="5" max="5" width="11.28515625" bestFit="1" customWidth="1"/>
    <col min="6" max="6" width="7.5703125" bestFit="1" customWidth="1"/>
    <col min="7" max="7" width="11.28515625" bestFit="1" customWidth="1"/>
    <col min="8" max="8" width="7.5703125" bestFit="1" customWidth="1"/>
    <col min="9" max="9" width="12" bestFit="1" customWidth="1"/>
    <col min="10" max="10" width="9.85546875" bestFit="1" customWidth="1"/>
    <col min="11" max="13" width="7.5703125" bestFit="1" customWidth="1"/>
    <col min="14" max="14" width="23.85546875" customWidth="1"/>
    <col min="15" max="15" width="8.85546875" bestFit="1" customWidth="1"/>
    <col min="16" max="16" width="5.42578125" bestFit="1" customWidth="1"/>
    <col min="17" max="17" width="5" bestFit="1" customWidth="1"/>
    <col min="18" max="18" width="11.85546875" bestFit="1" customWidth="1"/>
    <col min="19" max="19" width="11.28515625" bestFit="1" customWidth="1"/>
    <col min="20" max="20" width="15.7109375" bestFit="1" customWidth="1"/>
    <col min="21" max="21" width="12.85546875" bestFit="1" customWidth="1"/>
    <col min="22" max="22" width="11.7109375" bestFit="1" customWidth="1"/>
    <col min="23" max="23" width="14.85546875" bestFit="1" customWidth="1"/>
    <col min="24" max="24" width="10.42578125" bestFit="1" customWidth="1"/>
    <col min="25" max="25" width="13.5703125" bestFit="1" customWidth="1"/>
    <col min="26" max="26" width="12.5703125" bestFit="1" customWidth="1"/>
    <col min="27" max="27" width="15.7109375" bestFit="1" customWidth="1"/>
    <col min="28" max="28" width="11.85546875" bestFit="1" customWidth="1"/>
    <col min="29" max="29" width="11.28515625" bestFit="1" customWidth="1"/>
  </cols>
  <sheetData>
    <row r="3" spans="1:2">
      <c r="A3" s="54" t="s">
        <v>271</v>
      </c>
      <c r="B3" t="s">
        <v>274</v>
      </c>
    </row>
    <row r="4" spans="1:2">
      <c r="A4" s="55" t="s">
        <v>259</v>
      </c>
      <c r="B4" s="56">
        <v>295000</v>
      </c>
    </row>
    <row r="5" spans="1:2">
      <c r="A5" s="55" t="s">
        <v>66</v>
      </c>
      <c r="B5" s="56">
        <v>276500</v>
      </c>
    </row>
    <row r="6" spans="1:2">
      <c r="A6" s="55" t="s">
        <v>266</v>
      </c>
      <c r="B6" s="56">
        <v>243000</v>
      </c>
    </row>
    <row r="7" spans="1:2">
      <c r="A7" s="55" t="s">
        <v>272</v>
      </c>
      <c r="B7" s="56">
        <v>814500</v>
      </c>
    </row>
  </sheetData>
  <pageMargins left="0.7" right="0.7" top="0.75" bottom="0.75" header="0.3" footer="0.3"/>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B1E14-0020-4795-BF24-3013C0D8AC9A}">
  <dimension ref="A3:B8"/>
  <sheetViews>
    <sheetView workbookViewId="0">
      <selection activeCell="A3" sqref="A3"/>
    </sheetView>
  </sheetViews>
  <sheetFormatPr defaultRowHeight="15"/>
  <cols>
    <col min="1" max="1" width="13.42578125" bestFit="1" customWidth="1"/>
    <col min="2" max="2" width="18.28515625" bestFit="1" customWidth="1"/>
    <col min="4" max="4" width="8" bestFit="1" customWidth="1"/>
    <col min="5" max="5" width="7" bestFit="1" customWidth="1"/>
    <col min="6" max="6" width="11.28515625" bestFit="1" customWidth="1"/>
  </cols>
  <sheetData>
    <row r="3" spans="1:2">
      <c r="A3" s="54" t="s">
        <v>445</v>
      </c>
      <c r="B3" t="s">
        <v>273</v>
      </c>
    </row>
    <row r="4" spans="1:2">
      <c r="A4" s="55" t="s">
        <v>264</v>
      </c>
      <c r="B4" s="56">
        <v>4500</v>
      </c>
    </row>
    <row r="5" spans="1:2">
      <c r="A5" s="55" t="s">
        <v>180</v>
      </c>
      <c r="B5" s="56">
        <v>225000</v>
      </c>
    </row>
    <row r="6" spans="1:2">
      <c r="A6" s="55" t="s">
        <v>263</v>
      </c>
      <c r="B6" s="56">
        <v>48000</v>
      </c>
    </row>
    <row r="7" spans="1:2">
      <c r="A7" s="55" t="s">
        <v>268</v>
      </c>
      <c r="B7" s="56">
        <v>2400</v>
      </c>
    </row>
    <row r="8" spans="1:2">
      <c r="A8" s="55" t="s">
        <v>272</v>
      </c>
      <c r="B8" s="56">
        <v>279900</v>
      </c>
    </row>
  </sheetData>
  <pageMargins left="0.7" right="0.7" top="0.75" bottom="0.75" header="0.3" footer="0.3"/>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4B426-B621-446A-B153-4E09C017AF56}">
  <dimension ref="A3:B7"/>
  <sheetViews>
    <sheetView workbookViewId="0">
      <selection activeCell="R23" sqref="R23"/>
    </sheetView>
  </sheetViews>
  <sheetFormatPr defaultRowHeight="15"/>
  <cols>
    <col min="1" max="1" width="13.42578125" bestFit="1" customWidth="1"/>
    <col min="2" max="2" width="16.85546875" bestFit="1" customWidth="1"/>
  </cols>
  <sheetData>
    <row r="3" spans="1:2">
      <c r="A3" s="54" t="s">
        <v>271</v>
      </c>
      <c r="B3" t="s">
        <v>275</v>
      </c>
    </row>
    <row r="4" spans="1:2">
      <c r="A4" s="55" t="s">
        <v>262</v>
      </c>
      <c r="B4">
        <v>46</v>
      </c>
    </row>
    <row r="5" spans="1:2">
      <c r="A5" s="55" t="s">
        <v>260</v>
      </c>
      <c r="B5">
        <v>49</v>
      </c>
    </row>
    <row r="6" spans="1:2">
      <c r="A6" s="55" t="s">
        <v>267</v>
      </c>
      <c r="B6">
        <v>31</v>
      </c>
    </row>
    <row r="7" spans="1:2">
      <c r="A7" s="55" t="s">
        <v>272</v>
      </c>
      <c r="B7">
        <v>126</v>
      </c>
    </row>
  </sheetData>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1D690-9E79-4104-8624-D986F72AD408}">
  <dimension ref="A3:B9"/>
  <sheetViews>
    <sheetView workbookViewId="0">
      <selection activeCell="A3" sqref="A3"/>
    </sheetView>
  </sheetViews>
  <sheetFormatPr defaultRowHeight="15"/>
  <cols>
    <col min="1" max="1" width="13.42578125" bestFit="1" customWidth="1"/>
    <col min="2" max="2" width="22" bestFit="1" customWidth="1"/>
  </cols>
  <sheetData>
    <row r="3" spans="1:2">
      <c r="A3" s="54" t="s">
        <v>271</v>
      </c>
      <c r="B3" t="s">
        <v>274</v>
      </c>
    </row>
    <row r="4" spans="1:2">
      <c r="A4" s="55" t="s">
        <v>258</v>
      </c>
      <c r="B4" s="56">
        <v>228000</v>
      </c>
    </row>
    <row r="5" spans="1:2">
      <c r="A5" s="55" t="s">
        <v>265</v>
      </c>
      <c r="B5" s="56">
        <v>243000</v>
      </c>
    </row>
    <row r="6" spans="1:2">
      <c r="A6" s="55" t="s">
        <v>63</v>
      </c>
      <c r="B6" s="56">
        <v>106500</v>
      </c>
    </row>
    <row r="7" spans="1:2">
      <c r="A7" s="55" t="s">
        <v>103</v>
      </c>
      <c r="B7" s="56">
        <v>67000</v>
      </c>
    </row>
    <row r="8" spans="1:2">
      <c r="A8" s="55" t="s">
        <v>261</v>
      </c>
      <c r="B8" s="56">
        <v>170000</v>
      </c>
    </row>
    <row r="9" spans="1:2">
      <c r="A9" s="55" t="s">
        <v>272</v>
      </c>
      <c r="B9" s="56">
        <v>814500</v>
      </c>
    </row>
  </sheetData>
  <pageMargins left="0.7" right="0.7" top="0.75" bottom="0.75" header="0.3" footer="0.3"/>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4B4D7-BDFF-45A8-B454-30B8B7F0E537}">
  <dimension ref="A3:B7"/>
  <sheetViews>
    <sheetView workbookViewId="0">
      <selection activeCell="B3" sqref="B3"/>
    </sheetView>
  </sheetViews>
  <sheetFormatPr defaultRowHeight="15"/>
  <cols>
    <col min="1" max="1" width="13.42578125" bestFit="1" customWidth="1"/>
    <col min="2" max="2" width="22" bestFit="1" customWidth="1"/>
  </cols>
  <sheetData>
    <row r="3" spans="1:2">
      <c r="A3" s="54" t="s">
        <v>271</v>
      </c>
      <c r="B3" t="s">
        <v>274</v>
      </c>
    </row>
    <row r="4" spans="1:2">
      <c r="A4" s="55" t="s">
        <v>279</v>
      </c>
      <c r="B4" s="56">
        <v>312000</v>
      </c>
    </row>
    <row r="5" spans="1:2">
      <c r="A5" s="55" t="s">
        <v>281</v>
      </c>
      <c r="B5" s="56">
        <v>244000</v>
      </c>
    </row>
    <row r="6" spans="1:2">
      <c r="A6" s="55" t="s">
        <v>280</v>
      </c>
      <c r="B6" s="56">
        <v>258500</v>
      </c>
    </row>
    <row r="7" spans="1:2">
      <c r="A7" s="55" t="s">
        <v>272</v>
      </c>
      <c r="B7" s="56">
        <v>814500</v>
      </c>
    </row>
  </sheetData>
  <pageMargins left="0.7" right="0.7" top="0.75" bottom="0.75" header="0.3" footer="0.3"/>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B1E1A-482C-4F58-B4DC-3CD186027A58}">
  <dimension ref="A3:F8"/>
  <sheetViews>
    <sheetView workbookViewId="0">
      <selection activeCell="H21" sqref="H21"/>
    </sheetView>
  </sheetViews>
  <sheetFormatPr defaultRowHeight="15"/>
  <cols>
    <col min="1" max="1" width="17" bestFit="1" customWidth="1"/>
    <col min="2" max="2" width="16.85546875" bestFit="1" customWidth="1"/>
    <col min="3" max="3" width="7.140625" bestFit="1" customWidth="1"/>
    <col min="4" max="4" width="8" bestFit="1" customWidth="1"/>
    <col min="5" max="5" width="7" bestFit="1" customWidth="1"/>
    <col min="6" max="6" width="11.28515625" bestFit="1" customWidth="1"/>
    <col min="7" max="7" width="22" bestFit="1" customWidth="1"/>
    <col min="8" max="8" width="16.85546875" bestFit="1" customWidth="1"/>
    <col min="9" max="10" width="22" bestFit="1" customWidth="1"/>
    <col min="11" max="11" width="27" bestFit="1" customWidth="1"/>
  </cols>
  <sheetData>
    <row r="3" spans="1:6">
      <c r="A3" s="54" t="s">
        <v>275</v>
      </c>
      <c r="B3" s="54" t="s">
        <v>282</v>
      </c>
    </row>
    <row r="4" spans="1:6">
      <c r="A4" s="54" t="s">
        <v>271</v>
      </c>
      <c r="B4" t="s">
        <v>264</v>
      </c>
      <c r="C4" t="s">
        <v>180</v>
      </c>
      <c r="D4" t="s">
        <v>263</v>
      </c>
      <c r="E4" t="s">
        <v>268</v>
      </c>
      <c r="F4" t="s">
        <v>272</v>
      </c>
    </row>
    <row r="5" spans="1:6">
      <c r="A5" s="55" t="s">
        <v>259</v>
      </c>
      <c r="B5">
        <v>10</v>
      </c>
      <c r="C5">
        <v>4</v>
      </c>
      <c r="D5">
        <v>7</v>
      </c>
      <c r="E5">
        <v>20</v>
      </c>
      <c r="F5">
        <v>41</v>
      </c>
    </row>
    <row r="6" spans="1:6">
      <c r="A6" s="55" t="s">
        <v>66</v>
      </c>
      <c r="B6">
        <v>15</v>
      </c>
      <c r="C6">
        <v>2</v>
      </c>
      <c r="D6">
        <v>11</v>
      </c>
      <c r="E6">
        <v>40</v>
      </c>
      <c r="F6">
        <v>68</v>
      </c>
    </row>
    <row r="7" spans="1:6">
      <c r="A7" s="55" t="s">
        <v>266</v>
      </c>
      <c r="B7">
        <v>12</v>
      </c>
      <c r="C7">
        <v>5</v>
      </c>
      <c r="F7">
        <v>17</v>
      </c>
    </row>
    <row r="8" spans="1:6">
      <c r="A8" s="55" t="s">
        <v>272</v>
      </c>
      <c r="B8">
        <v>37</v>
      </c>
      <c r="C8">
        <v>11</v>
      </c>
      <c r="D8">
        <v>18</v>
      </c>
      <c r="E8">
        <v>60</v>
      </c>
      <c r="F8">
        <v>126</v>
      </c>
    </row>
  </sheetData>
  <pageMargins left="0.7" right="0.7" top="0.75" bottom="0.75" header="0.3" footer="0.3"/>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00D77-7312-480D-829F-49F1AED5D84C}">
  <dimension ref="A1:X2"/>
  <sheetViews>
    <sheetView workbookViewId="0">
      <selection activeCell="AA13" sqref="AA13"/>
    </sheetView>
  </sheetViews>
  <sheetFormatPr defaultRowHeight="15"/>
  <sheetData>
    <row r="1" spans="1:24">
      <c r="A1" s="167" t="s">
        <v>297</v>
      </c>
      <c r="B1" s="167"/>
      <c r="C1" s="167"/>
      <c r="D1" s="167"/>
      <c r="E1" s="167"/>
      <c r="F1" s="167"/>
      <c r="G1" s="167"/>
      <c r="H1" s="167"/>
      <c r="I1" s="167"/>
      <c r="J1" s="167"/>
      <c r="K1" s="167"/>
      <c r="L1" s="167"/>
      <c r="M1" s="167"/>
      <c r="N1" s="167"/>
      <c r="O1" s="167"/>
      <c r="P1" s="167"/>
      <c r="Q1" s="167"/>
      <c r="R1" s="167"/>
      <c r="S1" s="167"/>
      <c r="T1" s="167"/>
      <c r="U1" s="167"/>
      <c r="V1" s="167"/>
      <c r="W1" s="167"/>
      <c r="X1" s="167"/>
    </row>
    <row r="2" spans="1:24">
      <c r="A2" s="167"/>
      <c r="B2" s="167"/>
      <c r="C2" s="167"/>
      <c r="D2" s="167"/>
      <c r="E2" s="167"/>
      <c r="F2" s="167"/>
      <c r="G2" s="167"/>
      <c r="H2" s="167"/>
      <c r="I2" s="167"/>
      <c r="J2" s="167"/>
      <c r="K2" s="167"/>
      <c r="L2" s="167"/>
      <c r="M2" s="167"/>
      <c r="N2" s="167"/>
      <c r="O2" s="167"/>
      <c r="P2" s="167"/>
      <c r="Q2" s="167"/>
      <c r="R2" s="167"/>
      <c r="S2" s="167"/>
      <c r="T2" s="167"/>
      <c r="U2" s="167"/>
      <c r="V2" s="167"/>
      <c r="W2" s="167"/>
      <c r="X2" s="167"/>
    </row>
  </sheetData>
  <mergeCells count="1">
    <mergeCell ref="A1:X2"/>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FA71A-91BC-4627-9D8B-21C904559C12}">
  <dimension ref="A1:F8"/>
  <sheetViews>
    <sheetView tabSelected="1" workbookViewId="0">
      <selection activeCell="I30" sqref="I30"/>
    </sheetView>
  </sheetViews>
  <sheetFormatPr defaultRowHeight="15"/>
  <cols>
    <col min="1" max="1" width="24.28515625" customWidth="1"/>
    <col min="2" max="2" width="16.140625" customWidth="1"/>
    <col min="3" max="3" width="17" customWidth="1"/>
    <col min="4" max="4" width="16.42578125" customWidth="1"/>
    <col min="5" max="5" width="15.7109375" customWidth="1"/>
    <col min="6" max="6" width="15.140625" customWidth="1"/>
  </cols>
  <sheetData>
    <row r="1" spans="1:6">
      <c r="A1" s="103" t="s">
        <v>283</v>
      </c>
      <c r="B1" s="103"/>
      <c r="C1" s="103"/>
      <c r="D1" s="103"/>
      <c r="E1" s="103"/>
      <c r="F1" s="103"/>
    </row>
    <row r="2" spans="1:6">
      <c r="A2" s="102" t="s">
        <v>284</v>
      </c>
      <c r="B2" s="102"/>
      <c r="C2" s="102" t="s">
        <v>286</v>
      </c>
      <c r="D2" s="102"/>
      <c r="E2" s="102" t="s">
        <v>287</v>
      </c>
      <c r="F2" s="102"/>
    </row>
    <row r="3" spans="1:6">
      <c r="A3" s="1" t="s">
        <v>53</v>
      </c>
      <c r="B3" s="1" t="s">
        <v>285</v>
      </c>
      <c r="C3" s="1" t="s">
        <v>174</v>
      </c>
      <c r="D3" s="1" t="s">
        <v>285</v>
      </c>
      <c r="E3" s="1" t="s">
        <v>256</v>
      </c>
      <c r="F3" s="1" t="s">
        <v>285</v>
      </c>
    </row>
    <row r="4" spans="1:6">
      <c r="A4" s="1" t="s">
        <v>288</v>
      </c>
      <c r="B4" s="6">
        <f>SUMIF('SALES DATA'!C3:C17,'PIVOT TABLE SUMMARY'!A4,'SALES DATA'!H3:H17)</f>
        <v>295000</v>
      </c>
      <c r="C4" s="1" t="s">
        <v>293</v>
      </c>
      <c r="D4" s="6">
        <f>SUMIF('SALES DATA'!E3:E17,'PIVOT TABLE SUMMARY'!C4,'SALES DATA'!H3:H17)</f>
        <v>495000</v>
      </c>
      <c r="E4" s="1" t="s">
        <v>290</v>
      </c>
      <c r="F4" s="1">
        <f>SUMIF('SALES DATA'!D3:D17,'PIVOT TABLE SUMMARY'!E4,'SALES DATA'!F3:F17)</f>
        <v>49</v>
      </c>
    </row>
    <row r="5" spans="1:6">
      <c r="A5" s="1" t="s">
        <v>175</v>
      </c>
      <c r="B5" s="6">
        <f>SUMIF('SALES DATA'!C4:C18,'PIVOT TABLE SUMMARY'!A5,'SALES DATA'!H4:H18)</f>
        <v>276500</v>
      </c>
      <c r="C5" s="1" t="s">
        <v>294</v>
      </c>
      <c r="D5" s="6">
        <f>SUMIF('SALES DATA'!E4:E18,'PIVOT TABLE SUMMARY'!C5,'SALES DATA'!H4:H18)</f>
        <v>216000</v>
      </c>
      <c r="E5" s="1" t="s">
        <v>291</v>
      </c>
      <c r="F5" s="1">
        <f>SUMIF('SALES DATA'!D4:D18,'PIVOT TABLE SUMMARY'!E5,'SALES DATA'!F4:F18)</f>
        <v>46</v>
      </c>
    </row>
    <row r="6" spans="1:6">
      <c r="A6" s="1" t="s">
        <v>289</v>
      </c>
      <c r="B6" s="6">
        <f>SUMIF('SALES DATA'!C5:C19,'PIVOT TABLE SUMMARY'!A6,'SALES DATA'!H5:H19)</f>
        <v>243000</v>
      </c>
      <c r="C6" s="1" t="s">
        <v>296</v>
      </c>
      <c r="D6" s="6">
        <f>SUMIF('SALES DATA'!E5:E19,'PIVOT TABLE SUMMARY'!C6,'SALES DATA'!H5:H19)</f>
        <v>0</v>
      </c>
      <c r="E6" s="1" t="s">
        <v>292</v>
      </c>
      <c r="F6" s="1">
        <f>SUMIF('SALES DATA'!D5:D19,'PIVOT TABLE SUMMARY'!E6,'SALES DATA'!F5:F19)</f>
        <v>31</v>
      </c>
    </row>
    <row r="7" spans="1:6">
      <c r="C7" s="1" t="s">
        <v>295</v>
      </c>
      <c r="D7" s="6">
        <f>SUMIF('SALES DATA'!E6:E20,'PIVOT TABLE SUMMARY'!C7,'SALES DATA'!H6:H20)</f>
        <v>48000</v>
      </c>
    </row>
    <row r="8" spans="1:6">
      <c r="D8" s="29"/>
    </row>
  </sheetData>
  <mergeCells count="4">
    <mergeCell ref="A2:B2"/>
    <mergeCell ref="C2:D2"/>
    <mergeCell ref="E2:F2"/>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Sales Sheet 1</vt:lpstr>
      <vt:lpstr>Sales Sheet 2</vt:lpstr>
      <vt:lpstr>MATHEMATICAL FUNCTIONS</vt:lpstr>
      <vt:lpstr>IF CONDITIONAL FUNCTIONS</vt:lpstr>
      <vt:lpstr>FINANCIAL CALCULATIONS</vt:lpstr>
      <vt:lpstr>TIME &amp; DATE</vt:lpstr>
      <vt:lpstr>COUNT Practice</vt:lpstr>
      <vt:lpstr>Eligible-Not Eligible</vt:lpstr>
      <vt:lpstr>FORMULAS(Beginners)</vt:lpstr>
      <vt:lpstr>SUMIF, SUMIFS Practice</vt:lpstr>
      <vt:lpstr>SUMIFS</vt:lpstr>
      <vt:lpstr>SUMIF VS SUM+FILTER FORMULA</vt:lpstr>
      <vt:lpstr>DATE VS EDATE FORMULA</vt:lpstr>
      <vt:lpstr>VLOOKUP 1</vt:lpstr>
      <vt:lpstr>VLOOKUP 2</vt:lpstr>
      <vt:lpstr>VLOOKUP 3</vt:lpstr>
      <vt:lpstr>VLOOKUP 4</vt:lpstr>
      <vt:lpstr>XLOOKUP</vt:lpstr>
      <vt:lpstr>HLOOKUP</vt:lpstr>
      <vt:lpstr>LOOKUP FORMULA</vt:lpstr>
      <vt:lpstr>INDEX FUNCTION</vt:lpstr>
      <vt:lpstr>MATCH FUNCTION</vt:lpstr>
      <vt:lpstr>INDEX + MATCH FUNCTION</vt:lpstr>
      <vt:lpstr> DATA VALIDATION &amp; FILTER</vt:lpstr>
      <vt:lpstr>PIVOT TABLE &amp; CHART</vt:lpstr>
      <vt:lpstr>SALES DATA</vt:lpstr>
      <vt:lpstr>Column Chart</vt:lpstr>
      <vt:lpstr>Pie Chart</vt:lpstr>
      <vt:lpstr>Bar Chart</vt:lpstr>
      <vt:lpstr>Area Chart</vt:lpstr>
      <vt:lpstr>3D Pie Chart</vt:lpstr>
      <vt:lpstr> 2D Line Chart</vt:lpstr>
      <vt:lpstr>DASHBOARD</vt:lpstr>
      <vt:lpstr>PIVOT TABLE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Sandhiya Nirmaan</dc:creator>
  <cp:lastModifiedBy>Sandhiya Nirmaan</cp:lastModifiedBy>
  <dcterms:created xsi:type="dcterms:W3CDTF">2026-09-04T06:53:20Z</dcterms:created>
  <dcterms:modified xsi:type="dcterms:W3CDTF">2026-10-13T06:47:28Z</dcterms:modified>
</cp:coreProperties>
</file>